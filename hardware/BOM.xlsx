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hamster\Documents\Development\Badges\dczia\mk9-badge\hardware\"/>
    </mc:Choice>
  </mc:AlternateContent>
  <xr:revisionPtr revIDLastSave="0" documentId="13_ncr:1_{210BEA28-4839-403E-A04F-56A0E9998728}" xr6:coauthVersionLast="47" xr6:coauthVersionMax="47" xr10:uidLastSave="{00000000-0000-0000-0000-000000000000}"/>
  <bookViews>
    <workbookView xWindow="2660" yWindow="2660" windowWidth="27410" windowHeight="17230" xr2:uid="{00000000-000D-0000-FFFF-FFFF00000000}"/>
  </bookViews>
  <sheets>
    <sheet name="BOM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6" i="1" l="1"/>
  <c r="K36" i="1"/>
  <c r="K12" i="1"/>
  <c r="K19" i="1"/>
  <c r="L19" i="1"/>
  <c r="K8" i="1"/>
  <c r="L8" i="1"/>
  <c r="K23" i="1"/>
  <c r="L23" i="1"/>
  <c r="L3" i="1"/>
  <c r="L4" i="1"/>
  <c r="L6" i="1"/>
  <c r="L7" i="1"/>
  <c r="L9" i="1"/>
  <c r="L11" i="1"/>
  <c r="L12" i="1"/>
  <c r="L14" i="1"/>
  <c r="L15" i="1"/>
  <c r="L16" i="1"/>
  <c r="L17" i="1"/>
  <c r="L18" i="1"/>
  <c r="L21" i="1"/>
  <c r="L22" i="1"/>
  <c r="L25" i="1"/>
  <c r="L26" i="1"/>
  <c r="L27" i="1"/>
  <c r="L28" i="1"/>
  <c r="L33" i="1"/>
  <c r="L2" i="1"/>
  <c r="K39" i="1"/>
  <c r="K28" i="1"/>
  <c r="K9" i="1"/>
  <c r="K3" i="1"/>
  <c r="K4" i="1"/>
  <c r="K6" i="1"/>
  <c r="K7" i="1"/>
  <c r="K14" i="1"/>
  <c r="K15" i="1"/>
  <c r="K16" i="1"/>
  <c r="K17" i="1"/>
  <c r="K18" i="1"/>
  <c r="K21" i="1"/>
  <c r="K22" i="1"/>
  <c r="K25" i="1"/>
  <c r="K26" i="1"/>
  <c r="K27" i="1"/>
  <c r="K31" i="1"/>
  <c r="K33" i="1"/>
  <c r="K2" i="1"/>
  <c r="K41" i="1" l="1"/>
</calcChain>
</file>

<file path=xl/sharedStrings.xml><?xml version="1.0" encoding="utf-8"?>
<sst xmlns="http://schemas.openxmlformats.org/spreadsheetml/2006/main" count="148" uniqueCount="117">
  <si>
    <t>Part Number</t>
  </si>
  <si>
    <t>QOH</t>
  </si>
  <si>
    <t>Mouser</t>
  </si>
  <si>
    <t>0.1uF</t>
  </si>
  <si>
    <t>Aliexpress</t>
  </si>
  <si>
    <t>10R</t>
  </si>
  <si>
    <t>U1</t>
  </si>
  <si>
    <t>U3</t>
  </si>
  <si>
    <t>U2</t>
  </si>
  <si>
    <t>0603</t>
  </si>
  <si>
    <t>JS102011SAQN</t>
  </si>
  <si>
    <t>J1</t>
  </si>
  <si>
    <t>Reference</t>
  </si>
  <si>
    <t>Value</t>
  </si>
  <si>
    <t>Footprint</t>
  </si>
  <si>
    <t>Datasheet</t>
  </si>
  <si>
    <t>Qty</t>
  </si>
  <si>
    <t>~</t>
  </si>
  <si>
    <t>1uF</t>
  </si>
  <si>
    <t>D_Schottky</t>
  </si>
  <si>
    <t>WS2812B</t>
  </si>
  <si>
    <t>LED_SMD:LED_WS2812B_PLCC4_5.0x5.0mm_P3.2mm</t>
  </si>
  <si>
    <t>https://cdn-shop.adafruit.com/datasheets/WS2812B.pdf</t>
  </si>
  <si>
    <t>Micro_SD_Card_SPI</t>
  </si>
  <si>
    <t>lib_fp:MicroSD-Socket-Seeed-320090008</t>
  </si>
  <si>
    <t>https://statics3.seeedstudio.com/images/opl/datasheet/320090008.pdf</t>
  </si>
  <si>
    <t>USB-C</t>
  </si>
  <si>
    <t>Connector_USB:USB_C_Receptacle_HCTL_HC-TYPE-C-16P-01A</t>
  </si>
  <si>
    <t>1k</t>
  </si>
  <si>
    <t>10k</t>
  </si>
  <si>
    <t>5.1k</t>
  </si>
  <si>
    <t>27R</t>
  </si>
  <si>
    <t>R9</t>
  </si>
  <si>
    <t>Button_Switch_SMD:SW_SPST_EVQP7C</t>
  </si>
  <si>
    <t>SW_SPDT</t>
  </si>
  <si>
    <t>lib_fp:SW_SPDT_CK-JS102011SAQN</t>
  </si>
  <si>
    <t>NCP115ASN330T2G</t>
  </si>
  <si>
    <t>Package_TO_SOT_SMD:SOT-23-5</t>
  </si>
  <si>
    <t>RP2040</t>
  </si>
  <si>
    <t>Package_DFN_QFN:QFN-56-1EP_7x7mm_P0.4mm_EP3.2x3.2mm</t>
  </si>
  <si>
    <t>https://datasheets.raspberrypi.com/rp2040/rp2040-datasheet.pdf</t>
  </si>
  <si>
    <t>Badgelife_sao_connector_v169bis</t>
  </si>
  <si>
    <t>lib_fp:Badgelife-Shitty-v1.69bis</t>
  </si>
  <si>
    <t>Y1</t>
  </si>
  <si>
    <t>Crystal</t>
  </si>
  <si>
    <t>Crystal:Crystal_SMD_3225-4Pin_3.2x2.5mm</t>
  </si>
  <si>
    <t>Cost Each</t>
  </si>
  <si>
    <t>Cost per Badge</t>
  </si>
  <si>
    <t>Distributor</t>
  </si>
  <si>
    <t>Distributor Part</t>
  </si>
  <si>
    <t>Qty Needed</t>
  </si>
  <si>
    <t>Qty Ordered</t>
  </si>
  <si>
    <t>SC0914(7)</t>
  </si>
  <si>
    <t>358-SC09147</t>
  </si>
  <si>
    <t>https://www.aliexpress.us/item/3256805324706422.html?spm=a2g0o.order_list.order_list_main.14.3c001802alo1Kv&amp;gatewayAdapt=glo2usa</t>
  </si>
  <si>
    <t>VIRTUAL</t>
  </si>
  <si>
    <t>https://ckswitches.com/media/1422/js.pdf</t>
  </si>
  <si>
    <t>EVQ-P7C01P</t>
  </si>
  <si>
    <t>https://www.lcsc.com/datasheet/lcsc_datasheet_2211161000_HCTL-HC-TYPE-C-16P-01A_C2894897.pdf</t>
  </si>
  <si>
    <t>ABM8-272-T3</t>
  </si>
  <si>
    <t>TVS</t>
  </si>
  <si>
    <t>https://www.littelfuse.com/assetdocs/tvs-diode-array-spasp050xba-lead-free-green-datasheet?assetguid=15A03DE1-F0C6-457A-95F1-55D449FDD756</t>
  </si>
  <si>
    <t>SP0502BAHTG</t>
  </si>
  <si>
    <t>576-SP0502BAHTG</t>
  </si>
  <si>
    <t>Notes</t>
  </si>
  <si>
    <t>Optional stuffing</t>
  </si>
  <si>
    <t>`</t>
  </si>
  <si>
    <t>Battery boxes</t>
  </si>
  <si>
    <t>https://www.aliexpress.us/item/2251832628463811.html?spm=a2g0o.order_list.order_list_main.10.75b61802s7r8Fm&amp;gatewayAdapt=glo2usa</t>
  </si>
  <si>
    <t>15pF</t>
  </si>
  <si>
    <t>U4</t>
  </si>
  <si>
    <t>GSDA213</t>
  </si>
  <si>
    <t>Kionix_LGA-12_2x2mm_P0.5mm_LayoutBorder2x4y</t>
  </si>
  <si>
    <t>Digikey</t>
  </si>
  <si>
    <t>4786-GSDA213TR-ND</t>
  </si>
  <si>
    <t>https://goodarksemi.com/docs/datasheets/mems/GSDA213_SDS.pdf</t>
  </si>
  <si>
    <t>Total Parts</t>
  </si>
  <si>
    <t>PCB</t>
  </si>
  <si>
    <t>Batteries</t>
  </si>
  <si>
    <t>Amazon</t>
  </si>
  <si>
    <t>Feeder</t>
  </si>
  <si>
    <t xml:space="preserve"> </t>
  </si>
  <si>
    <t>W25Q128JVSIM</t>
  </si>
  <si>
    <t>W25Q128JVSIM-ND</t>
  </si>
  <si>
    <t>https://www.winbond.com/resource-files/W25Q128JV%20RevI%2008232021%20Plus.pdf</t>
  </si>
  <si>
    <t>Badge run</t>
  </si>
  <si>
    <t>120</t>
  </si>
  <si>
    <t>X1,X2</t>
  </si>
  <si>
    <t>535-ABM8-272-T3DKR-ND</t>
  </si>
  <si>
    <t>https://abracon.com/datasheets/ABM8-272-T3.pdf</t>
  </si>
  <si>
    <t>S1,S3</t>
  </si>
  <si>
    <t>P16765CT-ND</t>
  </si>
  <si>
    <t>https://api.pim.na.industrial.panasonic.com/file_stream/main/fileversion/245500</t>
  </si>
  <si>
    <t>SPST Push w/boss</t>
  </si>
  <si>
    <t>S2</t>
  </si>
  <si>
    <t>401-1999-1-ND</t>
  </si>
  <si>
    <t>S4-12</t>
  </si>
  <si>
    <t>CherryMX Blue</t>
  </si>
  <si>
    <t>D1</t>
  </si>
  <si>
    <t>SK6812</t>
  </si>
  <si>
    <t>SOD-123</t>
  </si>
  <si>
    <t>3757-SS0540_R1_00001DKR-ND</t>
  </si>
  <si>
    <t>https://www.panjit.com.tw/upload/datasheet/SS0520_SERIES.pdf</t>
  </si>
  <si>
    <t>D2-12</t>
  </si>
  <si>
    <t>D13-21</t>
  </si>
  <si>
    <t>D22-27</t>
  </si>
  <si>
    <t>4.7k</t>
  </si>
  <si>
    <t>R2,R3</t>
  </si>
  <si>
    <t>R4,R5</t>
  </si>
  <si>
    <t>R1,R7</t>
  </si>
  <si>
    <t>R6,R8</t>
  </si>
  <si>
    <t>R10,R11</t>
  </si>
  <si>
    <t>C1,C2</t>
  </si>
  <si>
    <t>C4,C7,C13,C14</t>
  </si>
  <si>
    <t>C3,C5,C6,C8-C12,C15-C20</t>
  </si>
  <si>
    <t>Key caps</t>
  </si>
  <si>
    <t>https://www.onsemi.com/pdf/datasheet/ncp115-d.pdf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</si>
</sst>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</font>
    <font>
      <sz val="10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sz val="10"/>
      <color rgb="FF333333"/>
      <name val="Arial"/>
      <family val="2"/>
    </font>
    <font>
      <i/>
      <sz val="10"/>
      <name val="Arial"/>
      <family val="2"/>
    </font>
    <font>
      <u/>
      <sz val="10"/>
      <color theme="10"/>
      <name val="Arial"/>
      <family val="2"/>
    </font>
    <font>
      <sz val="10"/>
      <color rgb="FF212529"/>
      <name val="Arial"/>
      <family val="2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0" borderId="0" xfId="0" applyFont="1"/>
    <xf numFmtId="49" fontId="0" fillId="0" borderId="0" xfId="0" applyNumberFormat="1"/>
    <xf numFmtId="49" fontId="1" fillId="0" borderId="0" xfId="0" applyNumberFormat="1" applyFont="1"/>
    <xf numFmtId="49" fontId="5" fillId="0" borderId="0" xfId="0" applyNumberFormat="1" applyFont="1"/>
    <xf numFmtId="49" fontId="3" fillId="0" borderId="0" xfId="0" applyNumberFormat="1" applyFont="1"/>
    <xf numFmtId="49" fontId="4" fillId="0" borderId="0" xfId="0" applyNumberFormat="1" applyFont="1"/>
    <xf numFmtId="49" fontId="7" fillId="0" borderId="0" xfId="0" applyNumberFormat="1" applyFont="1"/>
    <xf numFmtId="0" fontId="6" fillId="0" borderId="0" xfId="1" applyNumberFormat="1"/>
    <xf numFmtId="0" fontId="4" fillId="0" borderId="0" xfId="0" applyFont="1"/>
    <xf numFmtId="0" fontId="1" fillId="0" borderId="0" xfId="1" applyNumberFormat="1" applyFont="1"/>
    <xf numFmtId="0" fontId="1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49" fontId="6" fillId="0" borderId="0" xfId="1" applyNumberFormat="1"/>
    <xf numFmtId="49" fontId="3" fillId="0" borderId="0" xfId="0" applyNumberFormat="1" applyFont="1" applyAlignment="1">
      <alignment wrapText="1"/>
    </xf>
    <xf numFmtId="0" fontId="1" fillId="2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api.pim.na.industrial.panasonic.com/file_stream/main/fileversion/245500" TargetMode="External"/><Relationship Id="rId1" Type="http://schemas.openxmlformats.org/officeDocument/2006/relationships/hyperlink" Target="https://www.lcsc.com/datasheet/lcsc_datasheet_2211161000_HCTL-HC-TYPE-C-16P-01A_C2894897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983"/>
  <sheetViews>
    <sheetView tabSelected="1" workbookViewId="0">
      <pane ySplit="1" topLeftCell="A2" activePane="bottomLeft" state="frozen"/>
      <selection pane="bottomLeft" activeCell="H25" sqref="H25"/>
    </sheetView>
  </sheetViews>
  <sheetFormatPr defaultColWidth="14.453125" defaultRowHeight="15.75" customHeight="1" x14ac:dyDescent="0.25"/>
  <cols>
    <col min="1" max="1" width="9.7265625" customWidth="1"/>
    <col min="2" max="2" width="9.453125" customWidth="1"/>
    <col min="3" max="3" width="17.54296875" customWidth="1"/>
    <col min="4" max="4" width="35.54296875" style="5" customWidth="1"/>
    <col min="5" max="5" width="19.1796875" customWidth="1"/>
    <col min="6" max="6" width="9.54296875" customWidth="1"/>
    <col min="7" max="7" width="14" customWidth="1"/>
    <col min="8" max="8" width="9.6328125" style="5" customWidth="1"/>
    <col min="9" max="10" width="7.1796875" customWidth="1"/>
    <col min="11" max="11" width="7.453125" style="5" customWidth="1"/>
    <col min="12" max="12" width="7.54296875" customWidth="1"/>
    <col min="13" max="13" width="7.36328125" customWidth="1"/>
    <col min="14" max="14" width="14.6328125" customWidth="1"/>
    <col min="15" max="15" width="8.453125" customWidth="1"/>
    <col min="16" max="16" width="10.453125" customWidth="1"/>
    <col min="17" max="17" width="12.90625" customWidth="1"/>
  </cols>
  <sheetData>
    <row r="1" spans="1:15" s="16" customFormat="1" ht="35.5" customHeight="1" x14ac:dyDescent="0.25">
      <c r="A1" s="14" t="s">
        <v>12</v>
      </c>
      <c r="B1" s="14" t="s">
        <v>80</v>
      </c>
      <c r="C1" s="15" t="s">
        <v>13</v>
      </c>
      <c r="D1" s="18" t="s">
        <v>14</v>
      </c>
      <c r="E1" s="15" t="s">
        <v>0</v>
      </c>
      <c r="F1" s="15" t="s">
        <v>48</v>
      </c>
      <c r="G1" s="15" t="s">
        <v>49</v>
      </c>
      <c r="H1" s="16" t="s">
        <v>15</v>
      </c>
      <c r="I1" s="15" t="s">
        <v>16</v>
      </c>
      <c r="J1" s="15" t="s">
        <v>46</v>
      </c>
      <c r="K1" s="15" t="s">
        <v>47</v>
      </c>
      <c r="L1" s="15" t="s">
        <v>50</v>
      </c>
      <c r="M1" s="15" t="s">
        <v>51</v>
      </c>
      <c r="N1" s="15" t="s">
        <v>1</v>
      </c>
      <c r="O1" s="15" t="s">
        <v>64</v>
      </c>
    </row>
    <row r="2" spans="1:15" ht="15.75" customHeight="1" x14ac:dyDescent="0.25">
      <c r="A2" s="1" t="s">
        <v>114</v>
      </c>
      <c r="B2" s="1" t="s">
        <v>81</v>
      </c>
      <c r="C2" t="s">
        <v>3</v>
      </c>
      <c r="D2" s="8" t="s">
        <v>9</v>
      </c>
      <c r="H2" s="5" t="s">
        <v>17</v>
      </c>
      <c r="I2">
        <v>14</v>
      </c>
      <c r="J2">
        <v>4.0000000000000001E-3</v>
      </c>
      <c r="K2">
        <f>I2*J2</f>
        <v>5.6000000000000001E-2</v>
      </c>
      <c r="L2" s="8">
        <f>I2*$K$43</f>
        <v>1680</v>
      </c>
      <c r="M2">
        <v>0</v>
      </c>
      <c r="N2">
        <v>2500</v>
      </c>
    </row>
    <row r="3" spans="1:15" s="1" customFormat="1" ht="15.75" customHeight="1" x14ac:dyDescent="0.25">
      <c r="A3" s="1" t="s">
        <v>113</v>
      </c>
      <c r="B3" s="1" t="s">
        <v>81</v>
      </c>
      <c r="C3" s="1" t="s">
        <v>18</v>
      </c>
      <c r="D3" s="8" t="s">
        <v>9</v>
      </c>
      <c r="H3" s="6" t="s">
        <v>17</v>
      </c>
      <c r="I3" s="1">
        <v>4</v>
      </c>
      <c r="J3" s="1">
        <v>4.0000000000000001E-3</v>
      </c>
      <c r="K3">
        <f t="shared" ref="K3:K39" si="0">I3*J3</f>
        <v>1.6E-2</v>
      </c>
      <c r="L3" s="8">
        <f>I3*$K$43</f>
        <v>480</v>
      </c>
      <c r="M3" s="1">
        <v>0</v>
      </c>
      <c r="N3" s="1">
        <v>3500</v>
      </c>
    </row>
    <row r="4" spans="1:15" ht="15.75" customHeight="1" x14ac:dyDescent="0.25">
      <c r="A4" s="1" t="s">
        <v>112</v>
      </c>
      <c r="B4" s="1"/>
      <c r="C4" t="s">
        <v>69</v>
      </c>
      <c r="D4" s="8" t="s">
        <v>9</v>
      </c>
      <c r="E4" s="3"/>
      <c r="F4" s="3"/>
      <c r="G4" s="3"/>
      <c r="H4" s="5" t="s">
        <v>17</v>
      </c>
      <c r="I4" s="3">
        <v>2</v>
      </c>
      <c r="J4">
        <v>4.0000000000000001E-3</v>
      </c>
      <c r="K4">
        <f t="shared" si="0"/>
        <v>8.0000000000000002E-3</v>
      </c>
      <c r="L4" s="8">
        <f>I4*$K$43</f>
        <v>240</v>
      </c>
      <c r="M4">
        <v>0</v>
      </c>
      <c r="N4">
        <v>3500</v>
      </c>
    </row>
    <row r="5" spans="1:15" ht="15.75" customHeight="1" x14ac:dyDescent="0.25">
      <c r="A5" s="1"/>
      <c r="B5" s="1"/>
      <c r="D5" s="8"/>
      <c r="E5" s="3"/>
      <c r="F5" s="3"/>
      <c r="G5" s="3"/>
      <c r="I5" s="3"/>
      <c r="K5"/>
      <c r="L5" s="8"/>
    </row>
    <row r="6" spans="1:15" s="1" customFormat="1" ht="12.5" x14ac:dyDescent="0.25">
      <c r="A6" s="1" t="s">
        <v>103</v>
      </c>
      <c r="C6" s="1" t="s">
        <v>19</v>
      </c>
      <c r="D6" s="6" t="s">
        <v>100</v>
      </c>
      <c r="F6" s="1" t="s">
        <v>73</v>
      </c>
      <c r="G6" s="1" t="s">
        <v>101</v>
      </c>
      <c r="H6" s="6" t="s">
        <v>102</v>
      </c>
      <c r="I6" s="1">
        <v>2</v>
      </c>
      <c r="J6" s="1">
        <v>0.11</v>
      </c>
      <c r="K6">
        <f t="shared" si="0"/>
        <v>0.22</v>
      </c>
      <c r="L6" s="8">
        <f>I6*$K$43</f>
        <v>240</v>
      </c>
      <c r="M6" s="1">
        <v>0</v>
      </c>
      <c r="N6" s="1">
        <v>2500</v>
      </c>
    </row>
    <row r="7" spans="1:15" s="1" customFormat="1" ht="12.5" x14ac:dyDescent="0.25">
      <c r="A7" s="1" t="s">
        <v>104</v>
      </c>
      <c r="B7" s="1" t="s">
        <v>81</v>
      </c>
      <c r="C7" s="1" t="s">
        <v>20</v>
      </c>
      <c r="D7" s="6" t="s">
        <v>21</v>
      </c>
      <c r="F7" s="1" t="s">
        <v>4</v>
      </c>
      <c r="G7" s="1" t="s">
        <v>68</v>
      </c>
      <c r="H7" s="6" t="s">
        <v>22</v>
      </c>
      <c r="I7" s="1">
        <v>9</v>
      </c>
      <c r="J7" s="1">
        <v>7.0000000000000007E-2</v>
      </c>
      <c r="K7">
        <f t="shared" si="0"/>
        <v>0.63000000000000012</v>
      </c>
      <c r="L7" s="8">
        <f>I7*$K$43</f>
        <v>1080</v>
      </c>
      <c r="M7" s="1">
        <v>0</v>
      </c>
      <c r="N7" s="1">
        <v>2000</v>
      </c>
    </row>
    <row r="8" spans="1:15" s="1" customFormat="1" ht="12.5" x14ac:dyDescent="0.25">
      <c r="A8" s="1" t="s">
        <v>105</v>
      </c>
      <c r="C8" s="1" t="s">
        <v>99</v>
      </c>
      <c r="D8" s="6"/>
      <c r="F8" s="1" t="s">
        <v>4</v>
      </c>
      <c r="H8" s="6"/>
      <c r="I8" s="1">
        <v>6</v>
      </c>
      <c r="J8" s="1">
        <v>0.1</v>
      </c>
      <c r="K8">
        <f t="shared" si="0"/>
        <v>0.60000000000000009</v>
      </c>
      <c r="L8" s="8">
        <f>I8*$K$43</f>
        <v>720</v>
      </c>
      <c r="M8" s="1">
        <v>1000</v>
      </c>
      <c r="N8" s="1">
        <v>0</v>
      </c>
    </row>
    <row r="9" spans="1:15" s="1" customFormat="1" ht="12.5" x14ac:dyDescent="0.25">
      <c r="A9" s="1" t="s">
        <v>98</v>
      </c>
      <c r="C9" s="1" t="s">
        <v>60</v>
      </c>
      <c r="D9" s="6"/>
      <c r="E9" s="1" t="s">
        <v>62</v>
      </c>
      <c r="F9" s="1" t="s">
        <v>2</v>
      </c>
      <c r="G9" s="1" t="s">
        <v>63</v>
      </c>
      <c r="H9" s="6" t="s">
        <v>61</v>
      </c>
      <c r="I9" s="1">
        <v>0</v>
      </c>
      <c r="J9" s="1">
        <v>0.38300000000000001</v>
      </c>
      <c r="K9">
        <f t="shared" si="0"/>
        <v>0</v>
      </c>
      <c r="L9" s="8">
        <f>I9*$K$43</f>
        <v>0</v>
      </c>
      <c r="O9" s="1" t="s">
        <v>65</v>
      </c>
    </row>
    <row r="10" spans="1:15" s="1" customFormat="1" ht="12.5" x14ac:dyDescent="0.25">
      <c r="D10" s="6"/>
      <c r="H10" s="6"/>
      <c r="K10"/>
      <c r="L10" s="8"/>
    </row>
    <row r="11" spans="1:15" s="1" customFormat="1" ht="12.5" x14ac:dyDescent="0.25">
      <c r="C11" s="1" t="s">
        <v>23</v>
      </c>
      <c r="D11" s="6" t="s">
        <v>24</v>
      </c>
      <c r="F11" s="1" t="s">
        <v>4</v>
      </c>
      <c r="H11" s="10" t="s">
        <v>25</v>
      </c>
      <c r="I11" s="1">
        <v>1</v>
      </c>
      <c r="J11" s="13">
        <v>0</v>
      </c>
      <c r="K11">
        <v>0</v>
      </c>
      <c r="L11" s="8">
        <f>I11*$K$43</f>
        <v>120</v>
      </c>
      <c r="M11" s="1">
        <v>0</v>
      </c>
    </row>
    <row r="12" spans="1:15" s="1" customFormat="1" ht="12.5" x14ac:dyDescent="0.25">
      <c r="A12" s="1" t="s">
        <v>11</v>
      </c>
      <c r="C12" s="1" t="s">
        <v>26</v>
      </c>
      <c r="D12" s="6" t="s">
        <v>27</v>
      </c>
      <c r="F12" s="1" t="s">
        <v>4</v>
      </c>
      <c r="G12" s="1" t="s">
        <v>54</v>
      </c>
      <c r="H12" s="17" t="s">
        <v>58</v>
      </c>
      <c r="I12" s="1">
        <v>1</v>
      </c>
      <c r="J12" s="1">
        <v>0.19</v>
      </c>
      <c r="K12">
        <f>I12*J12</f>
        <v>0.19</v>
      </c>
      <c r="L12" s="8">
        <f>I12*$K$43</f>
        <v>120</v>
      </c>
      <c r="M12" s="1">
        <v>150</v>
      </c>
      <c r="N12" s="1">
        <v>100</v>
      </c>
    </row>
    <row r="13" spans="1:15" s="1" customFormat="1" ht="12.5" x14ac:dyDescent="0.25">
      <c r="E13" s="6"/>
      <c r="I13" s="6"/>
      <c r="L13" s="8"/>
    </row>
    <row r="14" spans="1:15" s="1" customFormat="1" ht="12.5" x14ac:dyDescent="0.25">
      <c r="A14" s="1" t="s">
        <v>109</v>
      </c>
      <c r="C14" s="1" t="s">
        <v>28</v>
      </c>
      <c r="D14" s="6" t="s">
        <v>9</v>
      </c>
      <c r="H14" s="6" t="s">
        <v>17</v>
      </c>
      <c r="I14" s="1">
        <v>2</v>
      </c>
      <c r="J14" s="1">
        <v>1E-3</v>
      </c>
      <c r="K14">
        <f t="shared" si="0"/>
        <v>2E-3</v>
      </c>
      <c r="L14" s="8">
        <f t="shared" ref="L14:L19" si="1">I14*$K$43</f>
        <v>240</v>
      </c>
      <c r="M14" s="1">
        <v>0</v>
      </c>
      <c r="N14" s="1">
        <v>4500</v>
      </c>
    </row>
    <row r="15" spans="1:15" s="1" customFormat="1" ht="12.5" x14ac:dyDescent="0.25">
      <c r="A15" s="1" t="s">
        <v>110</v>
      </c>
      <c r="C15" s="1" t="s">
        <v>29</v>
      </c>
      <c r="D15" s="6" t="s">
        <v>9</v>
      </c>
      <c r="H15" s="6" t="s">
        <v>17</v>
      </c>
      <c r="I15" s="1">
        <v>2</v>
      </c>
      <c r="J15" s="1">
        <v>1E-3</v>
      </c>
      <c r="K15">
        <f t="shared" si="0"/>
        <v>2E-3</v>
      </c>
      <c r="L15" s="8">
        <f t="shared" si="1"/>
        <v>240</v>
      </c>
      <c r="M15" s="1">
        <v>0</v>
      </c>
      <c r="N15" s="1">
        <v>4500</v>
      </c>
    </row>
    <row r="16" spans="1:15" s="1" customFormat="1" ht="12.5" x14ac:dyDescent="0.25">
      <c r="A16" s="1" t="s">
        <v>107</v>
      </c>
      <c r="C16" s="1" t="s">
        <v>30</v>
      </c>
      <c r="D16" s="6" t="s">
        <v>9</v>
      </c>
      <c r="H16" s="6" t="s">
        <v>17</v>
      </c>
      <c r="I16" s="1">
        <v>2</v>
      </c>
      <c r="J16" s="1">
        <v>1E-3</v>
      </c>
      <c r="K16">
        <f t="shared" si="0"/>
        <v>2E-3</v>
      </c>
      <c r="L16" s="8">
        <f t="shared" si="1"/>
        <v>240</v>
      </c>
      <c r="M16" s="1">
        <v>0</v>
      </c>
      <c r="N16" s="1">
        <v>4500</v>
      </c>
    </row>
    <row r="17" spans="1:16" s="1" customFormat="1" ht="12.5" x14ac:dyDescent="0.25">
      <c r="A17" s="1" t="s">
        <v>108</v>
      </c>
      <c r="C17" s="1" t="s">
        <v>31</v>
      </c>
      <c r="D17" s="6" t="s">
        <v>9</v>
      </c>
      <c r="H17" s="6" t="s">
        <v>17</v>
      </c>
      <c r="I17" s="1">
        <v>2</v>
      </c>
      <c r="J17" s="1">
        <v>1E-3</v>
      </c>
      <c r="K17">
        <f t="shared" si="0"/>
        <v>2E-3</v>
      </c>
      <c r="L17" s="8">
        <f t="shared" si="1"/>
        <v>240</v>
      </c>
      <c r="M17" s="1">
        <v>0</v>
      </c>
      <c r="N17" s="1">
        <v>4500</v>
      </c>
    </row>
    <row r="18" spans="1:16" s="1" customFormat="1" ht="12.5" x14ac:dyDescent="0.25">
      <c r="A18" s="1" t="s">
        <v>32</v>
      </c>
      <c r="C18" s="1" t="s">
        <v>5</v>
      </c>
      <c r="D18" s="6" t="s">
        <v>9</v>
      </c>
      <c r="H18" s="6" t="s">
        <v>17</v>
      </c>
      <c r="I18" s="1">
        <v>1</v>
      </c>
      <c r="J18" s="1">
        <v>1E-3</v>
      </c>
      <c r="K18">
        <f t="shared" si="0"/>
        <v>1E-3</v>
      </c>
      <c r="L18" s="8">
        <f t="shared" si="1"/>
        <v>120</v>
      </c>
      <c r="M18" s="1">
        <v>0</v>
      </c>
      <c r="N18" s="1">
        <v>4500</v>
      </c>
    </row>
    <row r="19" spans="1:16" s="1" customFormat="1" ht="12.5" x14ac:dyDescent="0.25">
      <c r="A19" s="1" t="s">
        <v>111</v>
      </c>
      <c r="C19" s="1" t="s">
        <v>106</v>
      </c>
      <c r="D19" s="6" t="s">
        <v>9</v>
      </c>
      <c r="H19" s="6"/>
      <c r="I19" s="1">
        <v>2</v>
      </c>
      <c r="J19" s="1">
        <v>1E-3</v>
      </c>
      <c r="K19">
        <f t="shared" si="0"/>
        <v>2E-3</v>
      </c>
      <c r="L19" s="8">
        <f t="shared" si="1"/>
        <v>240</v>
      </c>
      <c r="M19" s="19">
        <v>0</v>
      </c>
      <c r="N19" s="1">
        <v>0</v>
      </c>
    </row>
    <row r="20" spans="1:16" s="1" customFormat="1" ht="12.5" x14ac:dyDescent="0.25">
      <c r="D20" s="6"/>
      <c r="H20" s="6"/>
      <c r="K20"/>
      <c r="L20" s="8"/>
    </row>
    <row r="21" spans="1:16" s="1" customFormat="1" ht="12.5" x14ac:dyDescent="0.25">
      <c r="A21" s="1" t="s">
        <v>90</v>
      </c>
      <c r="C21" s="1" t="s">
        <v>93</v>
      </c>
      <c r="D21" s="6" t="s">
        <v>33</v>
      </c>
      <c r="E21" s="1" t="s">
        <v>57</v>
      </c>
      <c r="F21" s="1" t="s">
        <v>73</v>
      </c>
      <c r="G21" s="1" t="s">
        <v>91</v>
      </c>
      <c r="H21" s="17" t="s">
        <v>92</v>
      </c>
      <c r="I21" s="1">
        <v>2</v>
      </c>
      <c r="J21" s="1">
        <v>0.20204</v>
      </c>
      <c r="K21">
        <f t="shared" si="0"/>
        <v>0.40407999999999999</v>
      </c>
      <c r="L21" s="8">
        <f>I21*$K$43</f>
        <v>240</v>
      </c>
      <c r="M21" s="19">
        <v>0</v>
      </c>
      <c r="N21" s="1">
        <v>0</v>
      </c>
    </row>
    <row r="22" spans="1:16" s="1" customFormat="1" ht="12.5" x14ac:dyDescent="0.25">
      <c r="A22" s="1" t="s">
        <v>94</v>
      </c>
      <c r="C22" s="1" t="s">
        <v>34</v>
      </c>
      <c r="D22" s="6" t="s">
        <v>35</v>
      </c>
      <c r="E22" s="1" t="s">
        <v>10</v>
      </c>
      <c r="F22" s="1" t="s">
        <v>73</v>
      </c>
      <c r="G22" s="1" t="s">
        <v>95</v>
      </c>
      <c r="H22" s="10" t="s">
        <v>56</v>
      </c>
      <c r="I22" s="1">
        <v>1</v>
      </c>
      <c r="J22" s="13">
        <v>0.60319999999999996</v>
      </c>
      <c r="K22">
        <f t="shared" si="0"/>
        <v>0.60319999999999996</v>
      </c>
      <c r="L22" s="8">
        <f>I22*$K$43</f>
        <v>120</v>
      </c>
      <c r="M22" s="19">
        <v>0</v>
      </c>
      <c r="N22" s="1">
        <v>0</v>
      </c>
    </row>
    <row r="23" spans="1:16" s="1" customFormat="1" ht="12.5" x14ac:dyDescent="0.25">
      <c r="A23" s="1" t="s">
        <v>96</v>
      </c>
      <c r="C23" s="1" t="s">
        <v>97</v>
      </c>
      <c r="D23" s="6"/>
      <c r="F23" s="1" t="s">
        <v>4</v>
      </c>
      <c r="H23" s="10"/>
      <c r="I23" s="1">
        <v>9</v>
      </c>
      <c r="J23" s="13">
        <v>0.1</v>
      </c>
      <c r="K23">
        <f t="shared" si="0"/>
        <v>0.9</v>
      </c>
      <c r="L23" s="8">
        <f>I23*$K$43</f>
        <v>1080</v>
      </c>
      <c r="M23" s="1">
        <v>1000</v>
      </c>
      <c r="N23" s="1">
        <v>0</v>
      </c>
    </row>
    <row r="24" spans="1:16" s="1" customFormat="1" ht="12.5" x14ac:dyDescent="0.25">
      <c r="D24" s="6"/>
      <c r="H24" s="6"/>
      <c r="K24"/>
      <c r="L24" s="8"/>
    </row>
    <row r="25" spans="1:16" s="1" customFormat="1" ht="12.5" x14ac:dyDescent="0.25">
      <c r="A25" s="1" t="s">
        <v>7</v>
      </c>
      <c r="C25" s="1" t="s">
        <v>36</v>
      </c>
      <c r="D25" s="6" t="s">
        <v>37</v>
      </c>
      <c r="E25" s="1" t="s">
        <v>36</v>
      </c>
      <c r="F25" s="1" t="s">
        <v>73</v>
      </c>
      <c r="G25" s="1" t="s">
        <v>36</v>
      </c>
      <c r="H25" s="6" t="s">
        <v>116</v>
      </c>
      <c r="I25" s="1">
        <v>1</v>
      </c>
      <c r="J25" s="1">
        <v>6.7699999999999996E-2</v>
      </c>
      <c r="K25">
        <f t="shared" si="0"/>
        <v>6.7699999999999996E-2</v>
      </c>
      <c r="L25" s="8">
        <f>I25*$K$43</f>
        <v>120</v>
      </c>
      <c r="M25" s="1">
        <v>0</v>
      </c>
      <c r="N25" s="1">
        <v>2500</v>
      </c>
    </row>
    <row r="26" spans="1:16" s="1" customFormat="1" ht="12.5" x14ac:dyDescent="0.25">
      <c r="A26" s="1" t="s">
        <v>8</v>
      </c>
      <c r="C26" s="1" t="s">
        <v>38</v>
      </c>
      <c r="D26" s="6" t="s">
        <v>39</v>
      </c>
      <c r="E26" s="1" t="s">
        <v>52</v>
      </c>
      <c r="F26" s="1" t="s">
        <v>2</v>
      </c>
      <c r="G26" s="1" t="s">
        <v>53</v>
      </c>
      <c r="H26" s="9" t="s">
        <v>40</v>
      </c>
      <c r="I26" s="1">
        <v>1</v>
      </c>
      <c r="J26" s="12">
        <v>0.8</v>
      </c>
      <c r="K26">
        <f t="shared" si="0"/>
        <v>0.8</v>
      </c>
      <c r="L26" s="8">
        <f>I26*$K$43</f>
        <v>120</v>
      </c>
      <c r="M26" s="1">
        <v>0</v>
      </c>
      <c r="N26" s="1">
        <v>1000</v>
      </c>
    </row>
    <row r="27" spans="1:16" s="1" customFormat="1" ht="12.5" x14ac:dyDescent="0.25">
      <c r="A27" s="1" t="s">
        <v>70</v>
      </c>
      <c r="C27" s="1" t="s">
        <v>82</v>
      </c>
      <c r="D27" s="6"/>
      <c r="F27" s="1" t="s">
        <v>73</v>
      </c>
      <c r="G27" s="1" t="s">
        <v>83</v>
      </c>
      <c r="H27" s="6" t="s">
        <v>84</v>
      </c>
      <c r="I27" s="1">
        <v>1</v>
      </c>
      <c r="J27" s="13">
        <v>2.5155599999999998</v>
      </c>
      <c r="K27">
        <f t="shared" si="0"/>
        <v>2.5155599999999998</v>
      </c>
      <c r="L27" s="8">
        <f>I27*$K$43</f>
        <v>120</v>
      </c>
      <c r="M27" s="19">
        <v>0</v>
      </c>
      <c r="N27" s="1">
        <v>0</v>
      </c>
    </row>
    <row r="28" spans="1:16" s="1" customFormat="1" ht="12.5" x14ac:dyDescent="0.25">
      <c r="A28" s="1" t="s">
        <v>6</v>
      </c>
      <c r="C28" s="1" t="s">
        <v>71</v>
      </c>
      <c r="D28" s="6" t="s">
        <v>72</v>
      </c>
      <c r="E28" s="1" t="s">
        <v>71</v>
      </c>
      <c r="F28" s="1" t="s">
        <v>73</v>
      </c>
      <c r="G28" s="1" t="s">
        <v>74</v>
      </c>
      <c r="H28" s="6" t="s">
        <v>75</v>
      </c>
      <c r="I28" s="1">
        <v>1</v>
      </c>
      <c r="J28" s="13">
        <v>0.65949999999999998</v>
      </c>
      <c r="K28">
        <f t="shared" si="0"/>
        <v>0.65949999999999998</v>
      </c>
      <c r="L28" s="8">
        <f>I28*$K$43</f>
        <v>120</v>
      </c>
      <c r="M28" s="19">
        <v>0</v>
      </c>
      <c r="N28" s="1">
        <v>0</v>
      </c>
    </row>
    <row r="29" spans="1:16" s="1" customFormat="1" ht="12.5" x14ac:dyDescent="0.25">
      <c r="D29" s="6"/>
      <c r="H29" s="6"/>
      <c r="J29" s="13"/>
      <c r="K29"/>
      <c r="L29" s="8"/>
    </row>
    <row r="30" spans="1:16" s="1" customFormat="1" ht="12.5" x14ac:dyDescent="0.25">
      <c r="D30" s="6"/>
      <c r="H30" s="6"/>
      <c r="J30" s="11"/>
      <c r="K30"/>
      <c r="L30" s="8"/>
    </row>
    <row r="31" spans="1:16" ht="15.75" customHeight="1" x14ac:dyDescent="0.25">
      <c r="A31" s="1" t="s">
        <v>87</v>
      </c>
      <c r="C31" t="s">
        <v>41</v>
      </c>
      <c r="D31" s="5" t="s">
        <v>42</v>
      </c>
      <c r="E31" s="3" t="s">
        <v>55</v>
      </c>
      <c r="I31">
        <v>2</v>
      </c>
      <c r="J31" s="13"/>
      <c r="K31">
        <f t="shared" si="0"/>
        <v>0</v>
      </c>
      <c r="L31" s="8"/>
      <c r="P31" s="1"/>
    </row>
    <row r="32" spans="1:16" ht="15.75" customHeight="1" x14ac:dyDescent="0.25">
      <c r="E32" s="3"/>
      <c r="K32"/>
      <c r="L32" s="8"/>
      <c r="P32" s="1"/>
    </row>
    <row r="33" spans="1:14" s="1" customFormat="1" ht="12.5" x14ac:dyDescent="0.25">
      <c r="A33" s="1" t="s">
        <v>43</v>
      </c>
      <c r="C33" s="1" t="s">
        <v>44</v>
      </c>
      <c r="D33" s="6" t="s">
        <v>45</v>
      </c>
      <c r="E33" s="1" t="s">
        <v>59</v>
      </c>
      <c r="F33" s="1" t="s">
        <v>73</v>
      </c>
      <c r="G33" s="1" t="s">
        <v>88</v>
      </c>
      <c r="H33" s="6" t="s">
        <v>89</v>
      </c>
      <c r="I33" s="1">
        <v>1</v>
      </c>
      <c r="J33" s="1">
        <v>0.40849999999999997</v>
      </c>
      <c r="K33">
        <f t="shared" si="0"/>
        <v>0.40849999999999997</v>
      </c>
      <c r="L33" s="8">
        <f>I33*$K$43</f>
        <v>120</v>
      </c>
      <c r="M33" s="19">
        <v>0</v>
      </c>
      <c r="N33" s="1">
        <v>0</v>
      </c>
    </row>
    <row r="34" spans="1:14" s="1" customFormat="1" ht="12.5" x14ac:dyDescent="0.25">
      <c r="D34" s="6"/>
      <c r="H34" s="6"/>
      <c r="K34"/>
    </row>
    <row r="35" spans="1:14" s="1" customFormat="1" ht="12.5" x14ac:dyDescent="0.25">
      <c r="D35" s="6"/>
      <c r="H35" s="6"/>
      <c r="K35"/>
    </row>
    <row r="36" spans="1:14" s="1" customFormat="1" ht="12.5" x14ac:dyDescent="0.25">
      <c r="C36" s="1" t="s">
        <v>115</v>
      </c>
      <c r="D36" s="6"/>
      <c r="H36" s="6"/>
      <c r="I36" s="1">
        <v>9</v>
      </c>
      <c r="J36" s="1">
        <v>0.19</v>
      </c>
      <c r="K36">
        <f t="shared" si="0"/>
        <v>1.71</v>
      </c>
      <c r="L36" s="8">
        <f>I36*$K$43</f>
        <v>1080</v>
      </c>
      <c r="M36" s="1">
        <v>1500</v>
      </c>
    </row>
    <row r="37" spans="1:14" s="1" customFormat="1" ht="13" x14ac:dyDescent="0.3">
      <c r="A37" s="2" t="s">
        <v>66</v>
      </c>
      <c r="B37" s="2"/>
      <c r="C37" s="1" t="s">
        <v>67</v>
      </c>
      <c r="D37" s="6"/>
      <c r="H37" s="6"/>
      <c r="I37" s="1">
        <v>1</v>
      </c>
      <c r="K37">
        <v>0.5</v>
      </c>
      <c r="M37" s="1">
        <v>125</v>
      </c>
    </row>
    <row r="38" spans="1:14" s="1" customFormat="1" ht="13" x14ac:dyDescent="0.3">
      <c r="A38" s="2"/>
      <c r="B38" s="2"/>
      <c r="C38" s="1" t="s">
        <v>77</v>
      </c>
      <c r="D38" s="6"/>
      <c r="H38" s="6"/>
      <c r="I38" s="1">
        <v>1</v>
      </c>
      <c r="K38">
        <v>1</v>
      </c>
      <c r="M38" s="1">
        <v>200</v>
      </c>
    </row>
    <row r="39" spans="1:14" s="1" customFormat="1" ht="13" x14ac:dyDescent="0.3">
      <c r="A39" s="2"/>
      <c r="B39" s="2"/>
      <c r="C39" s="1" t="s">
        <v>78</v>
      </c>
      <c r="D39" s="6"/>
      <c r="F39" s="1" t="s">
        <v>79</v>
      </c>
      <c r="H39" s="6"/>
      <c r="I39" s="1">
        <v>3</v>
      </c>
      <c r="J39" s="1">
        <v>0.15</v>
      </c>
      <c r="K39">
        <f t="shared" si="0"/>
        <v>0.44999999999999996</v>
      </c>
      <c r="M39" s="1">
        <v>300</v>
      </c>
    </row>
    <row r="40" spans="1:14" s="1" customFormat="1" ht="13" x14ac:dyDescent="0.3">
      <c r="A40" s="2"/>
      <c r="B40" s="2"/>
      <c r="D40" s="6"/>
      <c r="H40" s="6"/>
    </row>
    <row r="41" spans="1:14" s="1" customFormat="1" ht="13" x14ac:dyDescent="0.3">
      <c r="A41" s="2"/>
      <c r="B41" s="2"/>
      <c r="D41" s="6"/>
      <c r="H41" s="6"/>
      <c r="I41" s="1" t="s">
        <v>76</v>
      </c>
      <c r="K41" s="1">
        <f>SUM(K2:K40)</f>
        <v>11.74954</v>
      </c>
    </row>
    <row r="42" spans="1:14" s="1" customFormat="1" ht="13" x14ac:dyDescent="0.3">
      <c r="A42" s="2"/>
      <c r="B42" s="2"/>
      <c r="D42" s="6"/>
      <c r="H42" s="6"/>
      <c r="K42" s="6"/>
    </row>
    <row r="43" spans="1:14" s="1" customFormat="1" ht="13" x14ac:dyDescent="0.3">
      <c r="A43" s="2"/>
      <c r="B43" s="2"/>
      <c r="D43" s="6"/>
      <c r="H43" s="6"/>
      <c r="I43" s="1" t="s">
        <v>85</v>
      </c>
      <c r="K43" s="6" t="s">
        <v>86</v>
      </c>
    </row>
    <row r="44" spans="1:14" s="1" customFormat="1" ht="13" x14ac:dyDescent="0.3">
      <c r="A44" s="2"/>
      <c r="B44" s="2"/>
      <c r="D44" s="6"/>
      <c r="H44" s="6"/>
      <c r="K44" s="6"/>
    </row>
    <row r="45" spans="1:14" s="1" customFormat="1" ht="13" x14ac:dyDescent="0.3">
      <c r="A45" s="2"/>
      <c r="B45" s="2"/>
      <c r="D45" s="6"/>
      <c r="H45" s="6"/>
      <c r="K45" s="6"/>
    </row>
    <row r="46" spans="1:14" s="1" customFormat="1" ht="13" x14ac:dyDescent="0.3">
      <c r="A46" s="2"/>
      <c r="B46" s="2"/>
      <c r="D46" s="6"/>
      <c r="H46" s="6"/>
      <c r="K46" s="6"/>
    </row>
    <row r="47" spans="1:14" s="1" customFormat="1" ht="12.5" x14ac:dyDescent="0.25">
      <c r="D47" s="6"/>
      <c r="H47" s="6"/>
      <c r="K47" s="6"/>
    </row>
    <row r="48" spans="1:14" s="4" customFormat="1" ht="13" x14ac:dyDescent="0.3">
      <c r="D48" s="7"/>
      <c r="H48" s="7"/>
      <c r="K48" s="7"/>
    </row>
    <row r="49" spans="3:11" s="1" customFormat="1" ht="12.5" x14ac:dyDescent="0.25">
      <c r="D49" s="6"/>
      <c r="H49" s="6"/>
      <c r="K49" s="6"/>
    </row>
    <row r="50" spans="3:11" ht="12.5" x14ac:dyDescent="0.25">
      <c r="C50" s="1"/>
      <c r="K50" s="8"/>
    </row>
    <row r="51" spans="3:11" ht="12.5" x14ac:dyDescent="0.25">
      <c r="C51" s="1"/>
    </row>
    <row r="52" spans="3:11" ht="12.5" x14ac:dyDescent="0.25"/>
    <row r="53" spans="3:11" ht="12.5" x14ac:dyDescent="0.25"/>
    <row r="54" spans="3:11" ht="12.5" x14ac:dyDescent="0.25"/>
    <row r="55" spans="3:11" ht="12.5" x14ac:dyDescent="0.25"/>
    <row r="56" spans="3:11" ht="12.5" x14ac:dyDescent="0.25"/>
    <row r="57" spans="3:11" ht="12.5" x14ac:dyDescent="0.25"/>
    <row r="58" spans="3:11" ht="12.5" x14ac:dyDescent="0.25"/>
    <row r="59" spans="3:11" ht="12.5" x14ac:dyDescent="0.25"/>
    <row r="60" spans="3:11" ht="12.5" x14ac:dyDescent="0.25"/>
    <row r="61" spans="3:11" ht="12.5" x14ac:dyDescent="0.25"/>
    <row r="62" spans="3:11" ht="12.5" x14ac:dyDescent="0.25"/>
    <row r="63" spans="3:11" ht="12.5" x14ac:dyDescent="0.25"/>
    <row r="64" spans="3:11" ht="12.5" x14ac:dyDescent="0.25"/>
    <row r="65" ht="12.5" x14ac:dyDescent="0.25"/>
    <row r="66" ht="12.5" x14ac:dyDescent="0.25"/>
    <row r="67" ht="12.5" x14ac:dyDescent="0.25"/>
    <row r="68" ht="12.5" x14ac:dyDescent="0.25"/>
    <row r="69" ht="12.5" x14ac:dyDescent="0.25"/>
    <row r="70" ht="12.5" x14ac:dyDescent="0.25"/>
    <row r="71" ht="12.5" x14ac:dyDescent="0.25"/>
    <row r="72" ht="12.5" x14ac:dyDescent="0.25"/>
    <row r="73" ht="12.5" x14ac:dyDescent="0.25"/>
    <row r="74" ht="12.5" x14ac:dyDescent="0.25"/>
    <row r="75" ht="12.5" x14ac:dyDescent="0.25"/>
    <row r="76" ht="12.5" x14ac:dyDescent="0.25"/>
    <row r="77" ht="12.5" x14ac:dyDescent="0.25"/>
    <row r="78" ht="12.5" x14ac:dyDescent="0.25"/>
    <row r="79" ht="12.5" x14ac:dyDescent="0.25"/>
    <row r="80" ht="12.5" x14ac:dyDescent="0.25"/>
    <row r="81" ht="12.5" x14ac:dyDescent="0.25"/>
    <row r="82" ht="12.5" x14ac:dyDescent="0.25"/>
    <row r="83" ht="12.5" x14ac:dyDescent="0.25"/>
    <row r="84" ht="12.5" x14ac:dyDescent="0.25"/>
    <row r="85" ht="12.5" x14ac:dyDescent="0.25"/>
    <row r="86" ht="12.5" x14ac:dyDescent="0.25"/>
    <row r="87" ht="12.5" x14ac:dyDescent="0.25"/>
    <row r="88" ht="12.5" x14ac:dyDescent="0.25"/>
    <row r="89" ht="12.5" x14ac:dyDescent="0.25"/>
    <row r="90" ht="12.5" x14ac:dyDescent="0.25"/>
    <row r="91" ht="12.5" x14ac:dyDescent="0.25"/>
    <row r="92" ht="12.5" x14ac:dyDescent="0.25"/>
    <row r="93" ht="12.5" x14ac:dyDescent="0.25"/>
    <row r="94" ht="12.5" x14ac:dyDescent="0.25"/>
    <row r="95" ht="12.5" x14ac:dyDescent="0.25"/>
    <row r="96" ht="12.5" x14ac:dyDescent="0.25"/>
    <row r="97" ht="12.5" x14ac:dyDescent="0.25"/>
    <row r="98" ht="12.5" x14ac:dyDescent="0.25"/>
    <row r="99" ht="12.5" x14ac:dyDescent="0.25"/>
    <row r="100" ht="12.5" x14ac:dyDescent="0.25"/>
    <row r="101" ht="12.5" x14ac:dyDescent="0.25"/>
    <row r="102" ht="12.5" x14ac:dyDescent="0.25"/>
    <row r="103" ht="12.5" x14ac:dyDescent="0.25"/>
    <row r="104" ht="12.5" x14ac:dyDescent="0.25"/>
    <row r="105" ht="12.5" x14ac:dyDescent="0.25"/>
    <row r="106" ht="12.5" x14ac:dyDescent="0.25"/>
    <row r="107" ht="12.5" x14ac:dyDescent="0.25"/>
    <row r="108" ht="12.5" x14ac:dyDescent="0.25"/>
    <row r="109" ht="12.5" x14ac:dyDescent="0.25"/>
    <row r="110" ht="12.5" x14ac:dyDescent="0.25"/>
    <row r="111" ht="12.5" x14ac:dyDescent="0.25"/>
    <row r="112" ht="12.5" x14ac:dyDescent="0.25"/>
    <row r="113" ht="12.5" x14ac:dyDescent="0.25"/>
    <row r="114" ht="12.5" x14ac:dyDescent="0.25"/>
    <row r="115" ht="12.5" x14ac:dyDescent="0.25"/>
    <row r="116" ht="12.5" x14ac:dyDescent="0.25"/>
    <row r="117" ht="12.5" x14ac:dyDescent="0.25"/>
    <row r="118" ht="12.5" x14ac:dyDescent="0.25"/>
    <row r="119" ht="12.5" x14ac:dyDescent="0.25"/>
    <row r="120" ht="12.5" x14ac:dyDescent="0.25"/>
    <row r="121" ht="12.5" x14ac:dyDescent="0.25"/>
    <row r="122" ht="12.5" x14ac:dyDescent="0.25"/>
    <row r="123" ht="12.5" x14ac:dyDescent="0.25"/>
    <row r="124" ht="12.5" x14ac:dyDescent="0.25"/>
    <row r="125" ht="12.5" x14ac:dyDescent="0.25"/>
    <row r="126" ht="12.5" x14ac:dyDescent="0.25"/>
    <row r="127" ht="12.5" x14ac:dyDescent="0.25"/>
    <row r="128" ht="12.5" x14ac:dyDescent="0.25"/>
    <row r="129" ht="12.5" x14ac:dyDescent="0.25"/>
    <row r="130" ht="12.5" x14ac:dyDescent="0.25"/>
    <row r="131" ht="12.5" x14ac:dyDescent="0.25"/>
    <row r="132" ht="12.5" x14ac:dyDescent="0.25"/>
    <row r="133" ht="12.5" x14ac:dyDescent="0.25"/>
    <row r="134" ht="12.5" x14ac:dyDescent="0.25"/>
    <row r="135" ht="12.5" x14ac:dyDescent="0.25"/>
    <row r="136" ht="12.5" x14ac:dyDescent="0.25"/>
    <row r="137" ht="12.5" x14ac:dyDescent="0.25"/>
    <row r="138" ht="12.5" x14ac:dyDescent="0.25"/>
    <row r="139" ht="12.5" x14ac:dyDescent="0.25"/>
    <row r="140" ht="12.5" x14ac:dyDescent="0.25"/>
    <row r="141" ht="12.5" x14ac:dyDescent="0.25"/>
    <row r="142" ht="12.5" x14ac:dyDescent="0.25"/>
    <row r="143" ht="12.5" x14ac:dyDescent="0.25"/>
    <row r="144" ht="12.5" x14ac:dyDescent="0.25"/>
    <row r="145" ht="12.5" x14ac:dyDescent="0.25"/>
    <row r="146" ht="12.5" x14ac:dyDescent="0.25"/>
    <row r="147" ht="12.5" x14ac:dyDescent="0.25"/>
    <row r="148" ht="12.5" x14ac:dyDescent="0.25"/>
    <row r="149" ht="12.5" x14ac:dyDescent="0.25"/>
    <row r="150" ht="12.5" x14ac:dyDescent="0.25"/>
    <row r="151" ht="12.5" x14ac:dyDescent="0.25"/>
    <row r="152" ht="12.5" x14ac:dyDescent="0.25"/>
    <row r="153" ht="12.5" x14ac:dyDescent="0.25"/>
    <row r="154" ht="12.5" x14ac:dyDescent="0.25"/>
    <row r="155" ht="12.5" x14ac:dyDescent="0.25"/>
    <row r="156" ht="12.5" x14ac:dyDescent="0.25"/>
    <row r="157" ht="12.5" x14ac:dyDescent="0.25"/>
    <row r="158" ht="12.5" x14ac:dyDescent="0.25"/>
    <row r="159" ht="12.5" x14ac:dyDescent="0.25"/>
    <row r="160" ht="12.5" x14ac:dyDescent="0.25"/>
    <row r="161" ht="12.5" x14ac:dyDescent="0.25"/>
    <row r="162" ht="12.5" x14ac:dyDescent="0.25"/>
    <row r="163" ht="12.5" x14ac:dyDescent="0.25"/>
    <row r="164" ht="12.5" x14ac:dyDescent="0.25"/>
    <row r="165" ht="12.5" x14ac:dyDescent="0.25"/>
    <row r="166" ht="12.5" x14ac:dyDescent="0.25"/>
    <row r="167" ht="12.5" x14ac:dyDescent="0.25"/>
    <row r="168" ht="12.5" x14ac:dyDescent="0.25"/>
    <row r="169" ht="12.5" x14ac:dyDescent="0.25"/>
    <row r="170" ht="12.5" x14ac:dyDescent="0.25"/>
    <row r="171" ht="12.5" x14ac:dyDescent="0.25"/>
    <row r="172" ht="12.5" x14ac:dyDescent="0.25"/>
    <row r="173" ht="12.5" x14ac:dyDescent="0.25"/>
    <row r="174" ht="12.5" x14ac:dyDescent="0.25"/>
    <row r="175" ht="12.5" x14ac:dyDescent="0.25"/>
    <row r="176" ht="12.5" x14ac:dyDescent="0.25"/>
    <row r="177" ht="12.5" x14ac:dyDescent="0.25"/>
    <row r="178" ht="12.5" x14ac:dyDescent="0.25"/>
    <row r="179" ht="12.5" x14ac:dyDescent="0.25"/>
    <row r="180" ht="12.5" x14ac:dyDescent="0.25"/>
    <row r="181" ht="12.5" x14ac:dyDescent="0.25"/>
    <row r="182" ht="12.5" x14ac:dyDescent="0.25"/>
    <row r="183" ht="12.5" x14ac:dyDescent="0.25"/>
    <row r="184" ht="12.5" x14ac:dyDescent="0.25"/>
    <row r="185" ht="12.5" x14ac:dyDescent="0.25"/>
    <row r="186" ht="12.5" x14ac:dyDescent="0.25"/>
    <row r="187" ht="12.5" x14ac:dyDescent="0.25"/>
    <row r="188" ht="12.5" x14ac:dyDescent="0.25"/>
    <row r="189" ht="12.5" x14ac:dyDescent="0.25"/>
    <row r="190" ht="12.5" x14ac:dyDescent="0.25"/>
    <row r="191" ht="12.5" x14ac:dyDescent="0.25"/>
    <row r="192" ht="12.5" x14ac:dyDescent="0.25"/>
    <row r="193" ht="12.5" x14ac:dyDescent="0.25"/>
    <row r="194" ht="12.5" x14ac:dyDescent="0.25"/>
    <row r="195" ht="12.5" x14ac:dyDescent="0.25"/>
    <row r="196" ht="12.5" x14ac:dyDescent="0.25"/>
    <row r="197" ht="12.5" x14ac:dyDescent="0.25"/>
    <row r="198" ht="12.5" x14ac:dyDescent="0.25"/>
    <row r="199" ht="12.5" x14ac:dyDescent="0.25"/>
    <row r="200" ht="12.5" x14ac:dyDescent="0.25"/>
    <row r="201" ht="12.5" x14ac:dyDescent="0.25"/>
    <row r="202" ht="12.5" x14ac:dyDescent="0.25"/>
    <row r="203" ht="12.5" x14ac:dyDescent="0.25"/>
    <row r="204" ht="12.5" x14ac:dyDescent="0.25"/>
    <row r="205" ht="12.5" x14ac:dyDescent="0.25"/>
    <row r="206" ht="12.5" x14ac:dyDescent="0.25"/>
    <row r="207" ht="12.5" x14ac:dyDescent="0.25"/>
    <row r="208" ht="12.5" x14ac:dyDescent="0.25"/>
    <row r="209" ht="12.5" x14ac:dyDescent="0.25"/>
    <row r="210" ht="12.5" x14ac:dyDescent="0.25"/>
    <row r="211" ht="12.5" x14ac:dyDescent="0.25"/>
    <row r="212" ht="12.5" x14ac:dyDescent="0.25"/>
    <row r="213" ht="12.5" x14ac:dyDescent="0.25"/>
    <row r="214" ht="12.5" x14ac:dyDescent="0.25"/>
    <row r="215" ht="12.5" x14ac:dyDescent="0.25"/>
    <row r="216" ht="12.5" x14ac:dyDescent="0.25"/>
    <row r="217" ht="12.5" x14ac:dyDescent="0.25"/>
    <row r="218" ht="12.5" x14ac:dyDescent="0.25"/>
    <row r="219" ht="12.5" x14ac:dyDescent="0.25"/>
    <row r="220" ht="12.5" x14ac:dyDescent="0.25"/>
    <row r="221" ht="12.5" x14ac:dyDescent="0.25"/>
    <row r="222" ht="12.5" x14ac:dyDescent="0.25"/>
    <row r="223" ht="12.5" x14ac:dyDescent="0.25"/>
    <row r="224" ht="12.5" x14ac:dyDescent="0.25"/>
    <row r="225" ht="12.5" x14ac:dyDescent="0.25"/>
    <row r="226" ht="12.5" x14ac:dyDescent="0.25"/>
    <row r="227" ht="12.5" x14ac:dyDescent="0.25"/>
    <row r="228" ht="12.5" x14ac:dyDescent="0.25"/>
    <row r="229" ht="12.5" x14ac:dyDescent="0.25"/>
    <row r="230" ht="12.5" x14ac:dyDescent="0.25"/>
    <row r="231" ht="12.5" x14ac:dyDescent="0.25"/>
    <row r="232" ht="12.5" x14ac:dyDescent="0.25"/>
    <row r="233" ht="12.5" x14ac:dyDescent="0.25"/>
    <row r="234" ht="12.5" x14ac:dyDescent="0.25"/>
    <row r="235" ht="12.5" x14ac:dyDescent="0.25"/>
    <row r="236" ht="12.5" x14ac:dyDescent="0.25"/>
    <row r="237" ht="12.5" x14ac:dyDescent="0.25"/>
    <row r="238" ht="12.5" x14ac:dyDescent="0.25"/>
    <row r="239" ht="12.5" x14ac:dyDescent="0.25"/>
    <row r="240" ht="12.5" x14ac:dyDescent="0.25"/>
    <row r="241" ht="12.5" x14ac:dyDescent="0.25"/>
    <row r="242" ht="12.5" x14ac:dyDescent="0.25"/>
    <row r="243" ht="12.5" x14ac:dyDescent="0.25"/>
    <row r="244" ht="12.5" x14ac:dyDescent="0.25"/>
    <row r="245" ht="12.5" x14ac:dyDescent="0.25"/>
    <row r="246" ht="12.5" x14ac:dyDescent="0.25"/>
    <row r="247" ht="12.5" x14ac:dyDescent="0.25"/>
    <row r="248" ht="12.5" x14ac:dyDescent="0.25"/>
    <row r="249" ht="12.5" x14ac:dyDescent="0.25"/>
    <row r="250" ht="12.5" x14ac:dyDescent="0.25"/>
    <row r="251" ht="12.5" x14ac:dyDescent="0.25"/>
    <row r="252" ht="12.5" x14ac:dyDescent="0.25"/>
    <row r="253" ht="12.5" x14ac:dyDescent="0.25"/>
    <row r="254" ht="12.5" x14ac:dyDescent="0.25"/>
    <row r="255" ht="12.5" x14ac:dyDescent="0.25"/>
    <row r="256" ht="12.5" x14ac:dyDescent="0.25"/>
    <row r="257" ht="12.5" x14ac:dyDescent="0.25"/>
    <row r="258" ht="12.5" x14ac:dyDescent="0.25"/>
    <row r="259" ht="12.5" x14ac:dyDescent="0.25"/>
    <row r="260" ht="12.5" x14ac:dyDescent="0.25"/>
    <row r="261" ht="12.5" x14ac:dyDescent="0.25"/>
    <row r="262" ht="12.5" x14ac:dyDescent="0.25"/>
    <row r="263" ht="12.5" x14ac:dyDescent="0.25"/>
    <row r="264" ht="12.5" x14ac:dyDescent="0.25"/>
    <row r="265" ht="12.5" x14ac:dyDescent="0.25"/>
    <row r="266" ht="12.5" x14ac:dyDescent="0.25"/>
    <row r="267" ht="12.5" x14ac:dyDescent="0.25"/>
    <row r="268" ht="12.5" x14ac:dyDescent="0.25"/>
    <row r="269" ht="12.5" x14ac:dyDescent="0.25"/>
    <row r="270" ht="12.5" x14ac:dyDescent="0.25"/>
    <row r="271" ht="12.5" x14ac:dyDescent="0.25"/>
    <row r="272" ht="12.5" x14ac:dyDescent="0.25"/>
    <row r="273" ht="12.5" x14ac:dyDescent="0.25"/>
    <row r="274" ht="12.5" x14ac:dyDescent="0.25"/>
    <row r="275" ht="12.5" x14ac:dyDescent="0.25"/>
    <row r="276" ht="12.5" x14ac:dyDescent="0.25"/>
    <row r="277" ht="12.5" x14ac:dyDescent="0.25"/>
    <row r="278" ht="12.5" x14ac:dyDescent="0.25"/>
    <row r="279" ht="12.5" x14ac:dyDescent="0.25"/>
    <row r="280" ht="12.5" x14ac:dyDescent="0.25"/>
    <row r="281" ht="12.5" x14ac:dyDescent="0.25"/>
    <row r="282" ht="12.5" x14ac:dyDescent="0.25"/>
    <row r="283" ht="12.5" x14ac:dyDescent="0.25"/>
    <row r="284" ht="12.5" x14ac:dyDescent="0.25"/>
    <row r="285" ht="12.5" x14ac:dyDescent="0.25"/>
    <row r="286" ht="12.5" x14ac:dyDescent="0.25"/>
    <row r="287" ht="12.5" x14ac:dyDescent="0.25"/>
    <row r="288" ht="12.5" x14ac:dyDescent="0.25"/>
    <row r="289" ht="12.5" x14ac:dyDescent="0.25"/>
    <row r="290" ht="12.5" x14ac:dyDescent="0.25"/>
    <row r="291" ht="12.5" x14ac:dyDescent="0.25"/>
    <row r="292" ht="12.5" x14ac:dyDescent="0.25"/>
    <row r="293" ht="12.5" x14ac:dyDescent="0.25"/>
    <row r="294" ht="12.5" x14ac:dyDescent="0.25"/>
    <row r="295" ht="12.5" x14ac:dyDescent="0.25"/>
    <row r="296" ht="12.5" x14ac:dyDescent="0.25"/>
    <row r="297" ht="12.5" x14ac:dyDescent="0.25"/>
    <row r="298" ht="12.5" x14ac:dyDescent="0.25"/>
    <row r="299" ht="12.5" x14ac:dyDescent="0.25"/>
    <row r="300" ht="12.5" x14ac:dyDescent="0.25"/>
    <row r="301" ht="12.5" x14ac:dyDescent="0.25"/>
    <row r="302" ht="12.5" x14ac:dyDescent="0.25"/>
    <row r="303" ht="12.5" x14ac:dyDescent="0.25"/>
    <row r="304" ht="12.5" x14ac:dyDescent="0.25"/>
    <row r="305" ht="12.5" x14ac:dyDescent="0.25"/>
    <row r="306" ht="12.5" x14ac:dyDescent="0.25"/>
    <row r="307" ht="12.5" x14ac:dyDescent="0.25"/>
    <row r="308" ht="12.5" x14ac:dyDescent="0.25"/>
    <row r="309" ht="12.5" x14ac:dyDescent="0.25"/>
    <row r="310" ht="12.5" x14ac:dyDescent="0.25"/>
    <row r="311" ht="12.5" x14ac:dyDescent="0.25"/>
    <row r="312" ht="12.5" x14ac:dyDescent="0.25"/>
    <row r="313" ht="12.5" x14ac:dyDescent="0.25"/>
    <row r="314" ht="12.5" x14ac:dyDescent="0.25"/>
    <row r="315" ht="12.5" x14ac:dyDescent="0.25"/>
    <row r="316" ht="12.5" x14ac:dyDescent="0.25"/>
    <row r="317" ht="12.5" x14ac:dyDescent="0.25"/>
    <row r="318" ht="12.5" x14ac:dyDescent="0.25"/>
    <row r="319" ht="12.5" x14ac:dyDescent="0.25"/>
    <row r="320" ht="12.5" x14ac:dyDescent="0.25"/>
    <row r="321" ht="12.5" x14ac:dyDescent="0.25"/>
    <row r="322" ht="12.5" x14ac:dyDescent="0.25"/>
    <row r="323" ht="12.5" x14ac:dyDescent="0.25"/>
    <row r="324" ht="12.5" x14ac:dyDescent="0.25"/>
    <row r="325" ht="12.5" x14ac:dyDescent="0.25"/>
    <row r="326" ht="12.5" x14ac:dyDescent="0.25"/>
    <row r="327" ht="12.5" x14ac:dyDescent="0.25"/>
    <row r="328" ht="12.5" x14ac:dyDescent="0.25"/>
    <row r="329" ht="12.5" x14ac:dyDescent="0.25"/>
    <row r="330" ht="12.5" x14ac:dyDescent="0.25"/>
    <row r="331" ht="12.5" x14ac:dyDescent="0.25"/>
    <row r="332" ht="12.5" x14ac:dyDescent="0.25"/>
    <row r="333" ht="12.5" x14ac:dyDescent="0.25"/>
    <row r="334" ht="12.5" x14ac:dyDescent="0.25"/>
    <row r="335" ht="12.5" x14ac:dyDescent="0.25"/>
    <row r="336" ht="12.5" x14ac:dyDescent="0.25"/>
    <row r="337" ht="12.5" x14ac:dyDescent="0.25"/>
    <row r="338" ht="12.5" x14ac:dyDescent="0.25"/>
    <row r="339" ht="12.5" x14ac:dyDescent="0.25"/>
    <row r="340" ht="12.5" x14ac:dyDescent="0.25"/>
    <row r="341" ht="12.5" x14ac:dyDescent="0.25"/>
    <row r="342" ht="12.5" x14ac:dyDescent="0.25"/>
    <row r="343" ht="12.5" x14ac:dyDescent="0.25"/>
    <row r="344" ht="12.5" x14ac:dyDescent="0.25"/>
    <row r="345" ht="12.5" x14ac:dyDescent="0.25"/>
    <row r="346" ht="12.5" x14ac:dyDescent="0.25"/>
    <row r="347" ht="12.5" x14ac:dyDescent="0.25"/>
    <row r="348" ht="12.5" x14ac:dyDescent="0.25"/>
    <row r="349" ht="12.5" x14ac:dyDescent="0.25"/>
    <row r="350" ht="12.5" x14ac:dyDescent="0.25"/>
    <row r="351" ht="12.5" x14ac:dyDescent="0.25"/>
    <row r="352" ht="12.5" x14ac:dyDescent="0.25"/>
    <row r="353" ht="12.5" x14ac:dyDescent="0.25"/>
    <row r="354" ht="12.5" x14ac:dyDescent="0.25"/>
    <row r="355" ht="12.5" x14ac:dyDescent="0.25"/>
    <row r="356" ht="12.5" x14ac:dyDescent="0.25"/>
    <row r="357" ht="12.5" x14ac:dyDescent="0.25"/>
    <row r="358" ht="12.5" x14ac:dyDescent="0.25"/>
    <row r="359" ht="12.5" x14ac:dyDescent="0.25"/>
    <row r="360" ht="12.5" x14ac:dyDescent="0.25"/>
    <row r="361" ht="12.5" x14ac:dyDescent="0.25"/>
    <row r="362" ht="12.5" x14ac:dyDescent="0.25"/>
    <row r="363" ht="12.5" x14ac:dyDescent="0.25"/>
    <row r="364" ht="12.5" x14ac:dyDescent="0.25"/>
    <row r="365" ht="12.5" x14ac:dyDescent="0.25"/>
    <row r="366" ht="12.5" x14ac:dyDescent="0.25"/>
    <row r="367" ht="12.5" x14ac:dyDescent="0.25"/>
    <row r="368" ht="12.5" x14ac:dyDescent="0.25"/>
    <row r="369" ht="12.5" x14ac:dyDescent="0.25"/>
    <row r="370" ht="12.5" x14ac:dyDescent="0.25"/>
    <row r="371" ht="12.5" x14ac:dyDescent="0.25"/>
    <row r="372" ht="12.5" x14ac:dyDescent="0.25"/>
    <row r="373" ht="12.5" x14ac:dyDescent="0.25"/>
    <row r="374" ht="12.5" x14ac:dyDescent="0.25"/>
    <row r="375" ht="12.5" x14ac:dyDescent="0.25"/>
    <row r="376" ht="12.5" x14ac:dyDescent="0.25"/>
    <row r="377" ht="12.5" x14ac:dyDescent="0.25"/>
    <row r="378" ht="12.5" x14ac:dyDescent="0.25"/>
    <row r="379" ht="12.5" x14ac:dyDescent="0.25"/>
    <row r="380" ht="12.5" x14ac:dyDescent="0.25"/>
    <row r="381" ht="12.5" x14ac:dyDescent="0.25"/>
    <row r="382" ht="12.5" x14ac:dyDescent="0.25"/>
    <row r="383" ht="12.5" x14ac:dyDescent="0.25"/>
    <row r="384" ht="12.5" x14ac:dyDescent="0.25"/>
    <row r="385" ht="12.5" x14ac:dyDescent="0.25"/>
    <row r="386" ht="12.5" x14ac:dyDescent="0.25"/>
    <row r="387" ht="12.5" x14ac:dyDescent="0.25"/>
    <row r="388" ht="12.5" x14ac:dyDescent="0.25"/>
    <row r="389" ht="12.5" x14ac:dyDescent="0.25"/>
    <row r="390" ht="12.5" x14ac:dyDescent="0.25"/>
    <row r="391" ht="12.5" x14ac:dyDescent="0.25"/>
    <row r="392" ht="12.5" x14ac:dyDescent="0.25"/>
    <row r="393" ht="12.5" x14ac:dyDescent="0.25"/>
    <row r="394" ht="12.5" x14ac:dyDescent="0.25"/>
    <row r="395" ht="12.5" x14ac:dyDescent="0.25"/>
    <row r="396" ht="12.5" x14ac:dyDescent="0.25"/>
    <row r="397" ht="12.5" x14ac:dyDescent="0.25"/>
    <row r="398" ht="12.5" x14ac:dyDescent="0.25"/>
    <row r="399" ht="12.5" x14ac:dyDescent="0.25"/>
    <row r="400" ht="12.5" x14ac:dyDescent="0.25"/>
    <row r="401" ht="12.5" x14ac:dyDescent="0.25"/>
    <row r="402" ht="12.5" x14ac:dyDescent="0.25"/>
    <row r="403" ht="12.5" x14ac:dyDescent="0.25"/>
    <row r="404" ht="12.5" x14ac:dyDescent="0.25"/>
    <row r="405" ht="12.5" x14ac:dyDescent="0.25"/>
    <row r="406" ht="12.5" x14ac:dyDescent="0.25"/>
    <row r="407" ht="12.5" x14ac:dyDescent="0.25"/>
    <row r="408" ht="12.5" x14ac:dyDescent="0.25"/>
    <row r="409" ht="12.5" x14ac:dyDescent="0.25"/>
    <row r="410" ht="12.5" x14ac:dyDescent="0.25"/>
    <row r="411" ht="12.5" x14ac:dyDescent="0.25"/>
    <row r="412" ht="12.5" x14ac:dyDescent="0.25"/>
    <row r="413" ht="12.5" x14ac:dyDescent="0.25"/>
    <row r="414" ht="12.5" x14ac:dyDescent="0.25"/>
    <row r="415" ht="12.5" x14ac:dyDescent="0.25"/>
    <row r="416" ht="12.5" x14ac:dyDescent="0.25"/>
    <row r="417" ht="12.5" x14ac:dyDescent="0.25"/>
    <row r="418" ht="12.5" x14ac:dyDescent="0.25"/>
    <row r="419" ht="12.5" x14ac:dyDescent="0.25"/>
    <row r="420" ht="12.5" x14ac:dyDescent="0.25"/>
    <row r="421" ht="12.5" x14ac:dyDescent="0.25"/>
    <row r="422" ht="12.5" x14ac:dyDescent="0.25"/>
    <row r="423" ht="12.5" x14ac:dyDescent="0.25"/>
    <row r="424" ht="12.5" x14ac:dyDescent="0.25"/>
    <row r="425" ht="12.5" x14ac:dyDescent="0.25"/>
    <row r="426" ht="12.5" x14ac:dyDescent="0.25"/>
    <row r="427" ht="12.5" x14ac:dyDescent="0.25"/>
    <row r="428" ht="12.5" x14ac:dyDescent="0.25"/>
    <row r="429" ht="12.5" x14ac:dyDescent="0.25"/>
    <row r="430" ht="12.5" x14ac:dyDescent="0.25"/>
    <row r="431" ht="12.5" x14ac:dyDescent="0.25"/>
    <row r="432" ht="12.5" x14ac:dyDescent="0.25"/>
    <row r="433" ht="12.5" x14ac:dyDescent="0.25"/>
    <row r="434" ht="12.5" x14ac:dyDescent="0.25"/>
    <row r="435" ht="12.5" x14ac:dyDescent="0.25"/>
    <row r="436" ht="12.5" x14ac:dyDescent="0.25"/>
    <row r="437" ht="12.5" x14ac:dyDescent="0.25"/>
    <row r="438" ht="12.5" x14ac:dyDescent="0.25"/>
    <row r="439" ht="12.5" x14ac:dyDescent="0.25"/>
    <row r="440" ht="12.5" x14ac:dyDescent="0.25"/>
    <row r="441" ht="12.5" x14ac:dyDescent="0.25"/>
    <row r="442" ht="12.5" x14ac:dyDescent="0.25"/>
    <row r="443" ht="12.5" x14ac:dyDescent="0.25"/>
    <row r="444" ht="12.5" x14ac:dyDescent="0.25"/>
    <row r="445" ht="12.5" x14ac:dyDescent="0.25"/>
    <row r="446" ht="12.5" x14ac:dyDescent="0.25"/>
    <row r="447" ht="12.5" x14ac:dyDescent="0.25"/>
    <row r="448" ht="12.5" x14ac:dyDescent="0.25"/>
    <row r="449" ht="12.5" x14ac:dyDescent="0.25"/>
    <row r="450" ht="12.5" x14ac:dyDescent="0.25"/>
    <row r="451" ht="12.5" x14ac:dyDescent="0.25"/>
    <row r="452" ht="12.5" x14ac:dyDescent="0.25"/>
    <row r="453" ht="12.5" x14ac:dyDescent="0.25"/>
    <row r="454" ht="12.5" x14ac:dyDescent="0.25"/>
    <row r="455" ht="12.5" x14ac:dyDescent="0.25"/>
    <row r="456" ht="12.5" x14ac:dyDescent="0.25"/>
    <row r="457" ht="12.5" x14ac:dyDescent="0.25"/>
    <row r="458" ht="12.5" x14ac:dyDescent="0.25"/>
    <row r="459" ht="12.5" x14ac:dyDescent="0.25"/>
    <row r="460" ht="12.5" x14ac:dyDescent="0.25"/>
    <row r="461" ht="12.5" x14ac:dyDescent="0.25"/>
    <row r="462" ht="12.5" x14ac:dyDescent="0.25"/>
    <row r="463" ht="12.5" x14ac:dyDescent="0.25"/>
    <row r="464" ht="12.5" x14ac:dyDescent="0.25"/>
    <row r="465" ht="12.5" x14ac:dyDescent="0.25"/>
    <row r="466" ht="12.5" x14ac:dyDescent="0.25"/>
    <row r="467" ht="12.5" x14ac:dyDescent="0.25"/>
    <row r="468" ht="12.5" x14ac:dyDescent="0.25"/>
    <row r="469" ht="12.5" x14ac:dyDescent="0.25"/>
    <row r="470" ht="12.5" x14ac:dyDescent="0.25"/>
    <row r="471" ht="12.5" x14ac:dyDescent="0.25"/>
    <row r="472" ht="12.5" x14ac:dyDescent="0.25"/>
    <row r="473" ht="12.5" x14ac:dyDescent="0.25"/>
    <row r="474" ht="12.5" x14ac:dyDescent="0.25"/>
    <row r="475" ht="12.5" x14ac:dyDescent="0.25"/>
    <row r="476" ht="12.5" x14ac:dyDescent="0.25"/>
    <row r="477" ht="12.5" x14ac:dyDescent="0.25"/>
    <row r="478" ht="12.5" x14ac:dyDescent="0.25"/>
    <row r="479" ht="12.5" x14ac:dyDescent="0.25"/>
    <row r="480" ht="12.5" x14ac:dyDescent="0.25"/>
    <row r="481" ht="12.5" x14ac:dyDescent="0.25"/>
    <row r="482" ht="12.5" x14ac:dyDescent="0.25"/>
    <row r="483" ht="12.5" x14ac:dyDescent="0.25"/>
    <row r="484" ht="12.5" x14ac:dyDescent="0.25"/>
    <row r="485" ht="12.5" x14ac:dyDescent="0.25"/>
    <row r="486" ht="12.5" x14ac:dyDescent="0.25"/>
    <row r="487" ht="12.5" x14ac:dyDescent="0.25"/>
    <row r="488" ht="12.5" x14ac:dyDescent="0.25"/>
    <row r="489" ht="12.5" x14ac:dyDescent="0.25"/>
    <row r="490" ht="12.5" x14ac:dyDescent="0.25"/>
    <row r="491" ht="12.5" x14ac:dyDescent="0.25"/>
    <row r="492" ht="12.5" x14ac:dyDescent="0.25"/>
    <row r="493" ht="12.5" x14ac:dyDescent="0.25"/>
    <row r="494" ht="12.5" x14ac:dyDescent="0.25"/>
    <row r="495" ht="12.5" x14ac:dyDescent="0.25"/>
    <row r="496" ht="12.5" x14ac:dyDescent="0.25"/>
    <row r="497" ht="12.5" x14ac:dyDescent="0.25"/>
    <row r="498" ht="12.5" x14ac:dyDescent="0.25"/>
    <row r="499" ht="12.5" x14ac:dyDescent="0.25"/>
    <row r="500" ht="12.5" x14ac:dyDescent="0.25"/>
    <row r="501" ht="12.5" x14ac:dyDescent="0.25"/>
    <row r="502" ht="12.5" x14ac:dyDescent="0.25"/>
    <row r="503" ht="12.5" x14ac:dyDescent="0.25"/>
    <row r="504" ht="12.5" x14ac:dyDescent="0.25"/>
    <row r="505" ht="12.5" x14ac:dyDescent="0.25"/>
    <row r="506" ht="12.5" x14ac:dyDescent="0.25"/>
    <row r="507" ht="12.5" x14ac:dyDescent="0.25"/>
    <row r="508" ht="12.5" x14ac:dyDescent="0.25"/>
    <row r="509" ht="12.5" x14ac:dyDescent="0.25"/>
    <row r="510" ht="12.5" x14ac:dyDescent="0.25"/>
    <row r="511" ht="12.5" x14ac:dyDescent="0.25"/>
    <row r="512" ht="12.5" x14ac:dyDescent="0.25"/>
    <row r="513" ht="12.5" x14ac:dyDescent="0.25"/>
    <row r="514" ht="12.5" x14ac:dyDescent="0.25"/>
    <row r="515" ht="12.5" x14ac:dyDescent="0.25"/>
    <row r="516" ht="12.5" x14ac:dyDescent="0.25"/>
    <row r="517" ht="12.5" x14ac:dyDescent="0.25"/>
    <row r="518" ht="12.5" x14ac:dyDescent="0.25"/>
    <row r="519" ht="12.5" x14ac:dyDescent="0.25"/>
    <row r="520" ht="12.5" x14ac:dyDescent="0.25"/>
    <row r="521" ht="12.5" x14ac:dyDescent="0.25"/>
    <row r="522" ht="12.5" x14ac:dyDescent="0.25"/>
    <row r="523" ht="12.5" x14ac:dyDescent="0.25"/>
    <row r="524" ht="12.5" x14ac:dyDescent="0.25"/>
    <row r="525" ht="12.5" x14ac:dyDescent="0.25"/>
    <row r="526" ht="12.5" x14ac:dyDescent="0.25"/>
    <row r="527" ht="12.5" x14ac:dyDescent="0.25"/>
    <row r="528" ht="12.5" x14ac:dyDescent="0.25"/>
    <row r="529" ht="12.5" x14ac:dyDescent="0.25"/>
    <row r="530" ht="12.5" x14ac:dyDescent="0.25"/>
    <row r="531" ht="12.5" x14ac:dyDescent="0.25"/>
    <row r="532" ht="12.5" x14ac:dyDescent="0.25"/>
    <row r="533" ht="12.5" x14ac:dyDescent="0.25"/>
    <row r="534" ht="12.5" x14ac:dyDescent="0.25"/>
    <row r="535" ht="12.5" x14ac:dyDescent="0.25"/>
    <row r="536" ht="12.5" x14ac:dyDescent="0.25"/>
    <row r="537" ht="12.5" x14ac:dyDescent="0.25"/>
    <row r="538" ht="12.5" x14ac:dyDescent="0.25"/>
    <row r="539" ht="12.5" x14ac:dyDescent="0.25"/>
    <row r="540" ht="12.5" x14ac:dyDescent="0.25"/>
    <row r="541" ht="12.5" x14ac:dyDescent="0.25"/>
    <row r="542" ht="12.5" x14ac:dyDescent="0.25"/>
    <row r="543" ht="12.5" x14ac:dyDescent="0.25"/>
    <row r="544" ht="12.5" x14ac:dyDescent="0.25"/>
    <row r="545" ht="12.5" x14ac:dyDescent="0.25"/>
    <row r="546" ht="12.5" x14ac:dyDescent="0.25"/>
    <row r="547" ht="12.5" x14ac:dyDescent="0.25"/>
    <row r="548" ht="12.5" x14ac:dyDescent="0.25"/>
    <row r="549" ht="12.5" x14ac:dyDescent="0.25"/>
    <row r="550" ht="12.5" x14ac:dyDescent="0.25"/>
    <row r="551" ht="12.5" x14ac:dyDescent="0.25"/>
    <row r="552" ht="12.5" x14ac:dyDescent="0.25"/>
    <row r="553" ht="12.5" x14ac:dyDescent="0.25"/>
    <row r="554" ht="12.5" x14ac:dyDescent="0.25"/>
    <row r="555" ht="12.5" x14ac:dyDescent="0.25"/>
    <row r="556" ht="12.5" x14ac:dyDescent="0.25"/>
    <row r="557" ht="12.5" x14ac:dyDescent="0.25"/>
    <row r="558" ht="12.5" x14ac:dyDescent="0.25"/>
    <row r="559" ht="12.5" x14ac:dyDescent="0.25"/>
    <row r="560" ht="12.5" x14ac:dyDescent="0.25"/>
    <row r="561" ht="12.5" x14ac:dyDescent="0.25"/>
    <row r="562" ht="12.5" x14ac:dyDescent="0.25"/>
    <row r="563" ht="12.5" x14ac:dyDescent="0.25"/>
    <row r="564" ht="12.5" x14ac:dyDescent="0.25"/>
    <row r="565" ht="12.5" x14ac:dyDescent="0.25"/>
    <row r="566" ht="12.5" x14ac:dyDescent="0.25"/>
    <row r="567" ht="12.5" x14ac:dyDescent="0.25"/>
    <row r="568" ht="12.5" x14ac:dyDescent="0.25"/>
    <row r="569" ht="12.5" x14ac:dyDescent="0.25"/>
    <row r="570" ht="12.5" x14ac:dyDescent="0.25"/>
    <row r="571" ht="12.5" x14ac:dyDescent="0.25"/>
    <row r="572" ht="12.5" x14ac:dyDescent="0.25"/>
    <row r="573" ht="12.5" x14ac:dyDescent="0.25"/>
    <row r="574" ht="12.5" x14ac:dyDescent="0.25"/>
    <row r="575" ht="12.5" x14ac:dyDescent="0.25"/>
    <row r="576" ht="12.5" x14ac:dyDescent="0.25"/>
    <row r="577" ht="12.5" x14ac:dyDescent="0.25"/>
    <row r="578" ht="12.5" x14ac:dyDescent="0.25"/>
    <row r="579" ht="12.5" x14ac:dyDescent="0.25"/>
    <row r="580" ht="12.5" x14ac:dyDescent="0.25"/>
    <row r="581" ht="12.5" x14ac:dyDescent="0.25"/>
    <row r="582" ht="12.5" x14ac:dyDescent="0.25"/>
    <row r="583" ht="12.5" x14ac:dyDescent="0.25"/>
    <row r="584" ht="12.5" x14ac:dyDescent="0.25"/>
    <row r="585" ht="12.5" x14ac:dyDescent="0.25"/>
    <row r="586" ht="12.5" x14ac:dyDescent="0.25"/>
    <row r="587" ht="12.5" x14ac:dyDescent="0.25"/>
    <row r="588" ht="12.5" x14ac:dyDescent="0.25"/>
    <row r="589" ht="12.5" x14ac:dyDescent="0.25"/>
    <row r="590" ht="12.5" x14ac:dyDescent="0.25"/>
    <row r="591" ht="12.5" x14ac:dyDescent="0.25"/>
    <row r="592" ht="12.5" x14ac:dyDescent="0.25"/>
    <row r="593" ht="12.5" x14ac:dyDescent="0.25"/>
    <row r="594" ht="12.5" x14ac:dyDescent="0.25"/>
    <row r="595" ht="12.5" x14ac:dyDescent="0.25"/>
    <row r="596" ht="12.5" x14ac:dyDescent="0.25"/>
    <row r="597" ht="12.5" x14ac:dyDescent="0.25"/>
    <row r="598" ht="12.5" x14ac:dyDescent="0.25"/>
    <row r="599" ht="12.5" x14ac:dyDescent="0.25"/>
    <row r="600" ht="12.5" x14ac:dyDescent="0.25"/>
    <row r="601" ht="12.5" x14ac:dyDescent="0.25"/>
    <row r="602" ht="12.5" x14ac:dyDescent="0.25"/>
    <row r="603" ht="12.5" x14ac:dyDescent="0.25"/>
    <row r="604" ht="12.5" x14ac:dyDescent="0.25"/>
    <row r="605" ht="12.5" x14ac:dyDescent="0.25"/>
    <row r="606" ht="12.5" x14ac:dyDescent="0.25"/>
    <row r="607" ht="12.5" x14ac:dyDescent="0.25"/>
    <row r="608" ht="12.5" x14ac:dyDescent="0.25"/>
    <row r="609" ht="12.5" x14ac:dyDescent="0.25"/>
    <row r="610" ht="12.5" x14ac:dyDescent="0.25"/>
    <row r="611" ht="12.5" x14ac:dyDescent="0.25"/>
    <row r="612" ht="12.5" x14ac:dyDescent="0.25"/>
    <row r="613" ht="12.5" x14ac:dyDescent="0.25"/>
    <row r="614" ht="12.5" x14ac:dyDescent="0.25"/>
    <row r="615" ht="12.5" x14ac:dyDescent="0.25"/>
    <row r="616" ht="12.5" x14ac:dyDescent="0.25"/>
    <row r="617" ht="12.5" x14ac:dyDescent="0.25"/>
    <row r="618" ht="12.5" x14ac:dyDescent="0.25"/>
    <row r="619" ht="12.5" x14ac:dyDescent="0.25"/>
    <row r="620" ht="12.5" x14ac:dyDescent="0.25"/>
    <row r="621" ht="12.5" x14ac:dyDescent="0.25"/>
    <row r="622" ht="12.5" x14ac:dyDescent="0.25"/>
    <row r="623" ht="12.5" x14ac:dyDescent="0.25"/>
    <row r="624" ht="12.5" x14ac:dyDescent="0.25"/>
    <row r="625" ht="12.5" x14ac:dyDescent="0.25"/>
    <row r="626" ht="12.5" x14ac:dyDescent="0.25"/>
    <row r="627" ht="12.5" x14ac:dyDescent="0.25"/>
    <row r="628" ht="12.5" x14ac:dyDescent="0.25"/>
    <row r="629" ht="12.5" x14ac:dyDescent="0.25"/>
    <row r="630" ht="12.5" x14ac:dyDescent="0.25"/>
    <row r="631" ht="12.5" x14ac:dyDescent="0.25"/>
    <row r="632" ht="12.5" x14ac:dyDescent="0.25"/>
    <row r="633" ht="12.5" x14ac:dyDescent="0.25"/>
    <row r="634" ht="12.5" x14ac:dyDescent="0.25"/>
    <row r="635" ht="12.5" x14ac:dyDescent="0.25"/>
    <row r="636" ht="12.5" x14ac:dyDescent="0.25"/>
    <row r="637" ht="12.5" x14ac:dyDescent="0.25"/>
    <row r="638" ht="12.5" x14ac:dyDescent="0.25"/>
    <row r="639" ht="12.5" x14ac:dyDescent="0.25"/>
    <row r="640" ht="12.5" x14ac:dyDescent="0.25"/>
    <row r="641" ht="12.5" x14ac:dyDescent="0.25"/>
    <row r="642" ht="12.5" x14ac:dyDescent="0.25"/>
    <row r="643" ht="12.5" x14ac:dyDescent="0.25"/>
    <row r="644" ht="12.5" x14ac:dyDescent="0.25"/>
    <row r="645" ht="12.5" x14ac:dyDescent="0.25"/>
    <row r="646" ht="12.5" x14ac:dyDescent="0.25"/>
    <row r="647" ht="12.5" x14ac:dyDescent="0.25"/>
    <row r="648" ht="12.5" x14ac:dyDescent="0.25"/>
    <row r="649" ht="12.5" x14ac:dyDescent="0.25"/>
    <row r="650" ht="12.5" x14ac:dyDescent="0.25"/>
    <row r="651" ht="12.5" x14ac:dyDescent="0.25"/>
    <row r="652" ht="12.5" x14ac:dyDescent="0.25"/>
    <row r="653" ht="12.5" x14ac:dyDescent="0.25"/>
    <row r="654" ht="12.5" x14ac:dyDescent="0.25"/>
    <row r="655" ht="12.5" x14ac:dyDescent="0.25"/>
    <row r="656" ht="12.5" x14ac:dyDescent="0.25"/>
    <row r="657" ht="12.5" x14ac:dyDescent="0.25"/>
    <row r="658" ht="12.5" x14ac:dyDescent="0.25"/>
    <row r="659" ht="12.5" x14ac:dyDescent="0.25"/>
    <row r="660" ht="12.5" x14ac:dyDescent="0.25"/>
    <row r="661" ht="12.5" x14ac:dyDescent="0.25"/>
    <row r="662" ht="12.5" x14ac:dyDescent="0.25"/>
    <row r="663" ht="12.5" x14ac:dyDescent="0.25"/>
    <row r="664" ht="12.5" x14ac:dyDescent="0.25"/>
    <row r="665" ht="12.5" x14ac:dyDescent="0.25"/>
    <row r="666" ht="12.5" x14ac:dyDescent="0.25"/>
    <row r="667" ht="12.5" x14ac:dyDescent="0.25"/>
    <row r="668" ht="12.5" x14ac:dyDescent="0.25"/>
    <row r="669" ht="12.5" x14ac:dyDescent="0.25"/>
    <row r="670" ht="12.5" x14ac:dyDescent="0.25"/>
    <row r="671" ht="12.5" x14ac:dyDescent="0.25"/>
    <row r="672" ht="12.5" x14ac:dyDescent="0.25"/>
    <row r="673" ht="12.5" x14ac:dyDescent="0.25"/>
    <row r="674" ht="12.5" x14ac:dyDescent="0.25"/>
    <row r="675" ht="12.5" x14ac:dyDescent="0.25"/>
    <row r="676" ht="12.5" x14ac:dyDescent="0.25"/>
    <row r="677" ht="12.5" x14ac:dyDescent="0.25"/>
    <row r="678" ht="12.5" x14ac:dyDescent="0.25"/>
    <row r="679" ht="12.5" x14ac:dyDescent="0.25"/>
    <row r="680" ht="12.5" x14ac:dyDescent="0.25"/>
    <row r="681" ht="12.5" x14ac:dyDescent="0.25"/>
    <row r="682" ht="12.5" x14ac:dyDescent="0.25"/>
    <row r="683" ht="12.5" x14ac:dyDescent="0.25"/>
    <row r="684" ht="12.5" x14ac:dyDescent="0.25"/>
    <row r="685" ht="12.5" x14ac:dyDescent="0.25"/>
    <row r="686" ht="12.5" x14ac:dyDescent="0.25"/>
    <row r="687" ht="12.5" x14ac:dyDescent="0.25"/>
    <row r="688" ht="12.5" x14ac:dyDescent="0.25"/>
    <row r="689" ht="12.5" x14ac:dyDescent="0.25"/>
    <row r="690" ht="12.5" x14ac:dyDescent="0.25"/>
    <row r="691" ht="12.5" x14ac:dyDescent="0.25"/>
    <row r="692" ht="12.5" x14ac:dyDescent="0.25"/>
    <row r="693" ht="12.5" x14ac:dyDescent="0.25"/>
    <row r="694" ht="12.5" x14ac:dyDescent="0.25"/>
    <row r="695" ht="12.5" x14ac:dyDescent="0.25"/>
    <row r="696" ht="12.5" x14ac:dyDescent="0.25"/>
    <row r="697" ht="12.5" x14ac:dyDescent="0.25"/>
    <row r="698" ht="12.5" x14ac:dyDescent="0.25"/>
    <row r="699" ht="12.5" x14ac:dyDescent="0.25"/>
    <row r="700" ht="12.5" x14ac:dyDescent="0.25"/>
    <row r="701" ht="12.5" x14ac:dyDescent="0.25"/>
    <row r="702" ht="12.5" x14ac:dyDescent="0.25"/>
    <row r="703" ht="12.5" x14ac:dyDescent="0.25"/>
    <row r="704" ht="12.5" x14ac:dyDescent="0.25"/>
    <row r="705" ht="12.5" x14ac:dyDescent="0.25"/>
    <row r="706" ht="12.5" x14ac:dyDescent="0.25"/>
    <row r="707" ht="12.5" x14ac:dyDescent="0.25"/>
    <row r="708" ht="12.5" x14ac:dyDescent="0.25"/>
    <row r="709" ht="12.5" x14ac:dyDescent="0.25"/>
    <row r="710" ht="12.5" x14ac:dyDescent="0.25"/>
    <row r="711" ht="12.5" x14ac:dyDescent="0.25"/>
    <row r="712" ht="12.5" x14ac:dyDescent="0.25"/>
    <row r="713" ht="12.5" x14ac:dyDescent="0.25"/>
    <row r="714" ht="12.5" x14ac:dyDescent="0.25"/>
    <row r="715" ht="12.5" x14ac:dyDescent="0.25"/>
    <row r="716" ht="12.5" x14ac:dyDescent="0.25"/>
    <row r="717" ht="12.5" x14ac:dyDescent="0.25"/>
    <row r="718" ht="12.5" x14ac:dyDescent="0.25"/>
    <row r="719" ht="12.5" x14ac:dyDescent="0.25"/>
    <row r="720" ht="12.5" x14ac:dyDescent="0.25"/>
    <row r="721" ht="12.5" x14ac:dyDescent="0.25"/>
    <row r="722" ht="12.5" x14ac:dyDescent="0.25"/>
    <row r="723" ht="12.5" x14ac:dyDescent="0.25"/>
    <row r="724" ht="12.5" x14ac:dyDescent="0.25"/>
    <row r="725" ht="12.5" x14ac:dyDescent="0.25"/>
    <row r="726" ht="12.5" x14ac:dyDescent="0.25"/>
    <row r="727" ht="12.5" x14ac:dyDescent="0.25"/>
    <row r="728" ht="12.5" x14ac:dyDescent="0.25"/>
    <row r="729" ht="12.5" x14ac:dyDescent="0.25"/>
    <row r="730" ht="12.5" x14ac:dyDescent="0.25"/>
    <row r="731" ht="12.5" x14ac:dyDescent="0.25"/>
    <row r="732" ht="12.5" x14ac:dyDescent="0.25"/>
    <row r="733" ht="12.5" x14ac:dyDescent="0.25"/>
    <row r="734" ht="12.5" x14ac:dyDescent="0.25"/>
    <row r="735" ht="12.5" x14ac:dyDescent="0.25"/>
    <row r="736" ht="12.5" x14ac:dyDescent="0.25"/>
    <row r="737" ht="12.5" x14ac:dyDescent="0.25"/>
    <row r="738" ht="12.5" x14ac:dyDescent="0.25"/>
    <row r="739" ht="12.5" x14ac:dyDescent="0.25"/>
    <row r="740" ht="12.5" x14ac:dyDescent="0.25"/>
    <row r="741" ht="12.5" x14ac:dyDescent="0.25"/>
    <row r="742" ht="12.5" x14ac:dyDescent="0.25"/>
    <row r="743" ht="12.5" x14ac:dyDescent="0.25"/>
    <row r="744" ht="12.5" x14ac:dyDescent="0.25"/>
    <row r="745" ht="12.5" x14ac:dyDescent="0.25"/>
    <row r="746" ht="12.5" x14ac:dyDescent="0.25"/>
    <row r="747" ht="12.5" x14ac:dyDescent="0.25"/>
    <row r="748" ht="12.5" x14ac:dyDescent="0.25"/>
    <row r="749" ht="12.5" x14ac:dyDescent="0.25"/>
    <row r="750" ht="12.5" x14ac:dyDescent="0.25"/>
    <row r="751" ht="12.5" x14ac:dyDescent="0.25"/>
    <row r="752" ht="12.5" x14ac:dyDescent="0.25"/>
    <row r="753" ht="12.5" x14ac:dyDescent="0.25"/>
    <row r="754" ht="12.5" x14ac:dyDescent="0.25"/>
    <row r="755" ht="12.5" x14ac:dyDescent="0.25"/>
    <row r="756" ht="12.5" x14ac:dyDescent="0.25"/>
    <row r="757" ht="12.5" x14ac:dyDescent="0.25"/>
    <row r="758" ht="12.5" x14ac:dyDescent="0.25"/>
    <row r="759" ht="12.5" x14ac:dyDescent="0.25"/>
    <row r="760" ht="12.5" x14ac:dyDescent="0.25"/>
    <row r="761" ht="12.5" x14ac:dyDescent="0.25"/>
    <row r="762" ht="12.5" x14ac:dyDescent="0.25"/>
    <row r="763" ht="12.5" x14ac:dyDescent="0.25"/>
    <row r="764" ht="12.5" x14ac:dyDescent="0.25"/>
    <row r="765" ht="12.5" x14ac:dyDescent="0.25"/>
    <row r="766" ht="12.5" x14ac:dyDescent="0.25"/>
    <row r="767" ht="12.5" x14ac:dyDescent="0.25"/>
    <row r="768" ht="12.5" x14ac:dyDescent="0.25"/>
    <row r="769" ht="12.5" x14ac:dyDescent="0.25"/>
    <row r="770" ht="12.5" x14ac:dyDescent="0.25"/>
    <row r="771" ht="12.5" x14ac:dyDescent="0.25"/>
    <row r="772" ht="12.5" x14ac:dyDescent="0.25"/>
    <row r="773" ht="12.5" x14ac:dyDescent="0.25"/>
    <row r="774" ht="12.5" x14ac:dyDescent="0.25"/>
    <row r="775" ht="12.5" x14ac:dyDescent="0.25"/>
    <row r="776" ht="12.5" x14ac:dyDescent="0.25"/>
    <row r="777" ht="12.5" x14ac:dyDescent="0.25"/>
    <row r="778" ht="12.5" x14ac:dyDescent="0.25"/>
    <row r="779" ht="12.5" x14ac:dyDescent="0.25"/>
    <row r="780" ht="12.5" x14ac:dyDescent="0.25"/>
    <row r="781" ht="12.5" x14ac:dyDescent="0.25"/>
    <row r="782" ht="12.5" x14ac:dyDescent="0.25"/>
    <row r="783" ht="12.5" x14ac:dyDescent="0.25"/>
    <row r="784" ht="12.5" x14ac:dyDescent="0.25"/>
    <row r="785" ht="12.5" x14ac:dyDescent="0.25"/>
    <row r="786" ht="12.5" x14ac:dyDescent="0.25"/>
    <row r="787" ht="12.5" x14ac:dyDescent="0.25"/>
    <row r="788" ht="12.5" x14ac:dyDescent="0.25"/>
    <row r="789" ht="12.5" x14ac:dyDescent="0.25"/>
    <row r="790" ht="12.5" x14ac:dyDescent="0.25"/>
    <row r="791" ht="12.5" x14ac:dyDescent="0.25"/>
    <row r="792" ht="12.5" x14ac:dyDescent="0.25"/>
    <row r="793" ht="12.5" x14ac:dyDescent="0.25"/>
    <row r="794" ht="12.5" x14ac:dyDescent="0.25"/>
    <row r="795" ht="12.5" x14ac:dyDescent="0.25"/>
    <row r="796" ht="12.5" x14ac:dyDescent="0.25"/>
    <row r="797" ht="12.5" x14ac:dyDescent="0.25"/>
    <row r="798" ht="12.5" x14ac:dyDescent="0.25"/>
    <row r="799" ht="12.5" x14ac:dyDescent="0.25"/>
    <row r="800" ht="12.5" x14ac:dyDescent="0.25"/>
    <row r="801" ht="12.5" x14ac:dyDescent="0.25"/>
    <row r="802" ht="12.5" x14ac:dyDescent="0.25"/>
    <row r="803" ht="12.5" x14ac:dyDescent="0.25"/>
    <row r="804" ht="12.5" x14ac:dyDescent="0.25"/>
    <row r="805" ht="12.5" x14ac:dyDescent="0.25"/>
    <row r="806" ht="12.5" x14ac:dyDescent="0.25"/>
    <row r="807" ht="12.5" x14ac:dyDescent="0.25"/>
    <row r="808" ht="12.5" x14ac:dyDescent="0.25"/>
    <row r="809" ht="12.5" x14ac:dyDescent="0.25"/>
    <row r="810" ht="12.5" x14ac:dyDescent="0.25"/>
    <row r="811" ht="12.5" x14ac:dyDescent="0.25"/>
    <row r="812" ht="12.5" x14ac:dyDescent="0.25"/>
    <row r="813" ht="12.5" x14ac:dyDescent="0.25"/>
    <row r="814" ht="12.5" x14ac:dyDescent="0.25"/>
    <row r="815" ht="12.5" x14ac:dyDescent="0.25"/>
    <row r="816" ht="12.5" x14ac:dyDescent="0.25"/>
    <row r="817" ht="12.5" x14ac:dyDescent="0.25"/>
    <row r="818" ht="12.5" x14ac:dyDescent="0.25"/>
    <row r="819" ht="12.5" x14ac:dyDescent="0.25"/>
    <row r="820" ht="12.5" x14ac:dyDescent="0.25"/>
    <row r="821" ht="12.5" x14ac:dyDescent="0.25"/>
    <row r="822" ht="12.5" x14ac:dyDescent="0.25"/>
    <row r="823" ht="12.5" x14ac:dyDescent="0.25"/>
    <row r="824" ht="12.5" x14ac:dyDescent="0.25"/>
    <row r="825" ht="12.5" x14ac:dyDescent="0.25"/>
    <row r="826" ht="12.5" x14ac:dyDescent="0.25"/>
    <row r="827" ht="12.5" x14ac:dyDescent="0.25"/>
    <row r="828" ht="12.5" x14ac:dyDescent="0.25"/>
    <row r="829" ht="12.5" x14ac:dyDescent="0.25"/>
    <row r="830" ht="12.5" x14ac:dyDescent="0.25"/>
    <row r="831" ht="12.5" x14ac:dyDescent="0.25"/>
    <row r="832" ht="12.5" x14ac:dyDescent="0.25"/>
    <row r="833" ht="12.5" x14ac:dyDescent="0.25"/>
    <row r="834" ht="12.5" x14ac:dyDescent="0.25"/>
    <row r="835" ht="12.5" x14ac:dyDescent="0.25"/>
    <row r="836" ht="12.5" x14ac:dyDescent="0.25"/>
    <row r="837" ht="12.5" x14ac:dyDescent="0.25"/>
    <row r="838" ht="12.5" x14ac:dyDescent="0.25"/>
    <row r="839" ht="12.5" x14ac:dyDescent="0.25"/>
    <row r="840" ht="12.5" x14ac:dyDescent="0.25"/>
    <row r="841" ht="12.5" x14ac:dyDescent="0.25"/>
    <row r="842" ht="12.5" x14ac:dyDescent="0.25"/>
    <row r="843" ht="12.5" x14ac:dyDescent="0.25"/>
    <row r="844" ht="12.5" x14ac:dyDescent="0.25"/>
    <row r="845" ht="12.5" x14ac:dyDescent="0.25"/>
    <row r="846" ht="12.5" x14ac:dyDescent="0.25"/>
    <row r="847" ht="12.5" x14ac:dyDescent="0.25"/>
    <row r="848" ht="12.5" x14ac:dyDescent="0.25"/>
    <row r="849" ht="12.5" x14ac:dyDescent="0.25"/>
    <row r="850" ht="12.5" x14ac:dyDescent="0.25"/>
    <row r="851" ht="12.5" x14ac:dyDescent="0.25"/>
    <row r="852" ht="12.5" x14ac:dyDescent="0.25"/>
    <row r="853" ht="12.5" x14ac:dyDescent="0.25"/>
    <row r="854" ht="12.5" x14ac:dyDescent="0.25"/>
    <row r="855" ht="12.5" x14ac:dyDescent="0.25"/>
    <row r="856" ht="12.5" x14ac:dyDescent="0.25"/>
    <row r="857" ht="12.5" x14ac:dyDescent="0.25"/>
    <row r="858" ht="12.5" x14ac:dyDescent="0.25"/>
    <row r="859" ht="12.5" x14ac:dyDescent="0.25"/>
    <row r="860" ht="12.5" x14ac:dyDescent="0.25"/>
    <row r="861" ht="12.5" x14ac:dyDescent="0.25"/>
    <row r="862" ht="12.5" x14ac:dyDescent="0.25"/>
    <row r="863" ht="12.5" x14ac:dyDescent="0.25"/>
    <row r="864" ht="12.5" x14ac:dyDescent="0.25"/>
    <row r="865" ht="12.5" x14ac:dyDescent="0.25"/>
    <row r="866" ht="12.5" x14ac:dyDescent="0.25"/>
    <row r="867" ht="12.5" x14ac:dyDescent="0.25"/>
    <row r="868" ht="12.5" x14ac:dyDescent="0.25"/>
    <row r="869" ht="12.5" x14ac:dyDescent="0.25"/>
    <row r="870" ht="12.5" x14ac:dyDescent="0.25"/>
    <row r="871" ht="12.5" x14ac:dyDescent="0.25"/>
    <row r="872" ht="12.5" x14ac:dyDescent="0.25"/>
    <row r="873" ht="12.5" x14ac:dyDescent="0.25"/>
    <row r="874" ht="12.5" x14ac:dyDescent="0.25"/>
    <row r="875" ht="12.5" x14ac:dyDescent="0.25"/>
    <row r="876" ht="12.5" x14ac:dyDescent="0.25"/>
    <row r="877" ht="12.5" x14ac:dyDescent="0.25"/>
    <row r="878" ht="12.5" x14ac:dyDescent="0.25"/>
    <row r="879" ht="12.5" x14ac:dyDescent="0.25"/>
    <row r="880" ht="12.5" x14ac:dyDescent="0.25"/>
    <row r="881" ht="12.5" x14ac:dyDescent="0.25"/>
    <row r="882" ht="12.5" x14ac:dyDescent="0.25"/>
    <row r="883" ht="12.5" x14ac:dyDescent="0.25"/>
    <row r="884" ht="12.5" x14ac:dyDescent="0.25"/>
    <row r="885" ht="12.5" x14ac:dyDescent="0.25"/>
    <row r="886" ht="12.5" x14ac:dyDescent="0.25"/>
    <row r="887" ht="12.5" x14ac:dyDescent="0.25"/>
    <row r="888" ht="12.5" x14ac:dyDescent="0.25"/>
    <row r="889" ht="12.5" x14ac:dyDescent="0.25"/>
    <row r="890" ht="12.5" x14ac:dyDescent="0.25"/>
    <row r="891" ht="12.5" x14ac:dyDescent="0.25"/>
    <row r="892" ht="12.5" x14ac:dyDescent="0.25"/>
    <row r="893" ht="12.5" x14ac:dyDescent="0.25"/>
    <row r="894" ht="12.5" x14ac:dyDescent="0.25"/>
    <row r="895" ht="12.5" x14ac:dyDescent="0.25"/>
    <row r="896" ht="12.5" x14ac:dyDescent="0.25"/>
    <row r="897" ht="12.5" x14ac:dyDescent="0.25"/>
    <row r="898" ht="12.5" x14ac:dyDescent="0.25"/>
    <row r="899" ht="12.5" x14ac:dyDescent="0.25"/>
    <row r="900" ht="12.5" x14ac:dyDescent="0.25"/>
    <row r="901" ht="12.5" x14ac:dyDescent="0.25"/>
    <row r="902" ht="12.5" x14ac:dyDescent="0.25"/>
    <row r="903" ht="12.5" x14ac:dyDescent="0.25"/>
    <row r="904" ht="12.5" x14ac:dyDescent="0.25"/>
    <row r="905" ht="12.5" x14ac:dyDescent="0.25"/>
    <row r="906" ht="12.5" x14ac:dyDescent="0.25"/>
    <row r="907" ht="12.5" x14ac:dyDescent="0.25"/>
    <row r="908" ht="12.5" x14ac:dyDescent="0.25"/>
    <row r="909" ht="12.5" x14ac:dyDescent="0.25"/>
    <row r="910" ht="12.5" x14ac:dyDescent="0.25"/>
    <row r="911" ht="12.5" x14ac:dyDescent="0.25"/>
    <row r="912" ht="12.5" x14ac:dyDescent="0.25"/>
    <row r="913" ht="12.5" x14ac:dyDescent="0.25"/>
    <row r="914" ht="12.5" x14ac:dyDescent="0.25"/>
    <row r="915" ht="12.5" x14ac:dyDescent="0.25"/>
    <row r="916" ht="12.5" x14ac:dyDescent="0.25"/>
    <row r="917" ht="12.5" x14ac:dyDescent="0.25"/>
    <row r="918" ht="12.5" x14ac:dyDescent="0.25"/>
    <row r="919" ht="12.5" x14ac:dyDescent="0.25"/>
    <row r="920" ht="12.5" x14ac:dyDescent="0.25"/>
    <row r="921" ht="12.5" x14ac:dyDescent="0.25"/>
    <row r="922" ht="12.5" x14ac:dyDescent="0.25"/>
    <row r="923" ht="12.5" x14ac:dyDescent="0.25"/>
    <row r="924" ht="12.5" x14ac:dyDescent="0.25"/>
    <row r="925" ht="12.5" x14ac:dyDescent="0.25"/>
    <row r="926" ht="12.5" x14ac:dyDescent="0.25"/>
    <row r="927" ht="12.5" x14ac:dyDescent="0.25"/>
    <row r="928" ht="12.5" x14ac:dyDescent="0.25"/>
    <row r="929" ht="12.5" x14ac:dyDescent="0.25"/>
    <row r="930" ht="12.5" x14ac:dyDescent="0.25"/>
    <row r="931" ht="12.5" x14ac:dyDescent="0.25"/>
    <row r="932" ht="12.5" x14ac:dyDescent="0.25"/>
    <row r="933" ht="12.5" x14ac:dyDescent="0.25"/>
    <row r="934" ht="12.5" x14ac:dyDescent="0.25"/>
    <row r="935" ht="12.5" x14ac:dyDescent="0.25"/>
    <row r="936" ht="12.5" x14ac:dyDescent="0.25"/>
    <row r="937" ht="12.5" x14ac:dyDescent="0.25"/>
    <row r="938" ht="12.5" x14ac:dyDescent="0.25"/>
    <row r="939" ht="12.5" x14ac:dyDescent="0.25"/>
    <row r="940" ht="12.5" x14ac:dyDescent="0.25"/>
    <row r="941" ht="12.5" x14ac:dyDescent="0.25"/>
    <row r="942" ht="12.5" x14ac:dyDescent="0.25"/>
    <row r="943" ht="12.5" x14ac:dyDescent="0.25"/>
    <row r="944" ht="12.5" x14ac:dyDescent="0.25"/>
    <row r="945" ht="12.5" x14ac:dyDescent="0.25"/>
    <row r="946" ht="12.5" x14ac:dyDescent="0.25"/>
    <row r="947" ht="12.5" x14ac:dyDescent="0.25"/>
    <row r="948" ht="12.5" x14ac:dyDescent="0.25"/>
    <row r="949" ht="12.5" x14ac:dyDescent="0.25"/>
    <row r="950" ht="12.5" x14ac:dyDescent="0.25"/>
    <row r="951" ht="12.5" x14ac:dyDescent="0.25"/>
    <row r="952" ht="12.5" x14ac:dyDescent="0.25"/>
    <row r="953" ht="12.5" x14ac:dyDescent="0.25"/>
    <row r="954" ht="12.5" x14ac:dyDescent="0.25"/>
    <row r="955" ht="12.5" x14ac:dyDescent="0.25"/>
    <row r="956" ht="12.5" x14ac:dyDescent="0.25"/>
    <row r="957" ht="12.5" x14ac:dyDescent="0.25"/>
    <row r="958" ht="12.5" x14ac:dyDescent="0.25"/>
    <row r="959" ht="12.5" x14ac:dyDescent="0.25"/>
    <row r="960" ht="12.5" x14ac:dyDescent="0.25"/>
    <row r="961" ht="12.5" x14ac:dyDescent="0.25"/>
    <row r="962" ht="12.5" x14ac:dyDescent="0.25"/>
    <row r="963" ht="12.5" x14ac:dyDescent="0.25"/>
    <row r="964" ht="12.5" x14ac:dyDescent="0.25"/>
    <row r="965" ht="12.5" x14ac:dyDescent="0.25"/>
    <row r="966" ht="12.5" x14ac:dyDescent="0.25"/>
    <row r="967" ht="12.5" x14ac:dyDescent="0.25"/>
    <row r="968" ht="12.5" x14ac:dyDescent="0.25"/>
    <row r="969" ht="12.5" x14ac:dyDescent="0.25"/>
    <row r="970" ht="12.5" x14ac:dyDescent="0.25"/>
    <row r="971" ht="12.5" x14ac:dyDescent="0.25"/>
    <row r="972" ht="12.5" x14ac:dyDescent="0.25"/>
    <row r="973" ht="12.5" x14ac:dyDescent="0.25"/>
    <row r="974" ht="12.5" x14ac:dyDescent="0.25"/>
    <row r="975" ht="12.5" x14ac:dyDescent="0.25"/>
    <row r="976" ht="12.5" x14ac:dyDescent="0.25"/>
    <row r="977" ht="12.5" x14ac:dyDescent="0.25"/>
    <row r="978" ht="12.5" x14ac:dyDescent="0.25"/>
    <row r="979" ht="12.5" x14ac:dyDescent="0.25"/>
    <row r="980" ht="12.5" x14ac:dyDescent="0.25"/>
    <row r="981" ht="12.5" x14ac:dyDescent="0.25"/>
    <row r="982" ht="12.5" x14ac:dyDescent="0.25"/>
    <row r="983" ht="12.5" x14ac:dyDescent="0.25"/>
  </sheetData>
  <phoneticPr fontId="8" type="noConversion"/>
  <hyperlinks>
    <hyperlink ref="H12" r:id="rId1" xr:uid="{DA51463D-7099-4480-92F3-AC41DE28C746}"/>
    <hyperlink ref="H21" r:id="rId2" xr:uid="{C55C3F2E-4DB8-4761-8AA8-AC5EB1EE0D71}"/>
  </hyperlinks>
  <printOptions horizontalCentered="1" gridLines="1"/>
  <pageMargins left="0.7" right="0.7" top="0.75" bottom="0.75" header="0" footer="0"/>
  <pageSetup scale="75" pageOrder="overThenDown" orientation="landscape" cellComments="atEnd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Steve B</cp:lastModifiedBy>
  <cp:lastPrinted>2025-07-07T15:24:25Z</cp:lastPrinted>
  <dcterms:modified xsi:type="dcterms:W3CDTF">2026-06-23T00:59:52Z</dcterms:modified>
</cp:coreProperties>
</file>